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0" documentId="8_{4FADB55E-F2BF-4A36-9792-FCB2987E71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GT TRUCK LOADED 201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6" i="2" l="1"/>
  <c r="E267" i="2" s="1"/>
  <c r="E268" i="2" s="1"/>
  <c r="E269" i="2" s="1"/>
  <c r="E270" i="2" s="1"/>
  <c r="E271" i="2" s="1"/>
  <c r="E272" i="2" s="1"/>
  <c r="E273" i="2" s="1"/>
  <c r="E274" i="2" s="1"/>
  <c r="E219" i="2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143" i="2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118" i="2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D279" i="2" s="1"/>
  <c r="E86" i="2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74" i="2"/>
  <c r="E75" i="2" s="1"/>
  <c r="E76" i="2" s="1"/>
  <c r="E77" i="2" s="1"/>
  <c r="E78" i="2" s="1"/>
  <c r="E79" i="2" s="1"/>
  <c r="E80" i="2" s="1"/>
  <c r="E81" i="2" s="1"/>
  <c r="E69" i="2"/>
  <c r="I39" i="2"/>
  <c r="E21" i="2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D280" i="2" s="1"/>
  <c r="F280" i="2" s="1"/>
  <c r="D281" i="2" l="1"/>
  <c r="F281" i="2" s="1"/>
  <c r="F279" i="2"/>
</calcChain>
</file>

<file path=xl/sharedStrings.xml><?xml version="1.0" encoding="utf-8"?>
<sst xmlns="http://schemas.openxmlformats.org/spreadsheetml/2006/main" count="401" uniqueCount="125">
  <si>
    <t xml:space="preserve">WOLLEGA SESAME SEEDS </t>
  </si>
  <si>
    <t>ADDIS ABABA/SARIES  WAREHOUSE</t>
  </si>
  <si>
    <t>PURCHASED ITEM TYPE</t>
  </si>
  <si>
    <t xml:space="preserve">NET OBLIGATION RECEIPT NO. </t>
  </si>
  <si>
    <t xml:space="preserve">WAREHOUSE RECEIPT NO. </t>
  </si>
  <si>
    <t>QUINTAL</t>
  </si>
  <si>
    <t xml:space="preserve">TOTAL PURCHASE </t>
  </si>
  <si>
    <t>warehouse receipt no.</t>
  </si>
  <si>
    <t xml:space="preserve">ENTER TO WAREHOUSE </t>
  </si>
  <si>
    <t>REMAING BALANCE</t>
  </si>
  <si>
    <t>PURCHASED DATE</t>
  </si>
  <si>
    <t>LAST PICK UP DATE</t>
  </si>
  <si>
    <t xml:space="preserve"> Status</t>
  </si>
  <si>
    <t>WWSSUG</t>
  </si>
  <si>
    <t>01022719</t>
  </si>
  <si>
    <t>Unloaded</t>
  </si>
  <si>
    <t xml:space="preserve">WOLLEGASESAME SEEDS </t>
  </si>
  <si>
    <t>NEKEMT WAREHOUSE</t>
  </si>
  <si>
    <t>WWSS4</t>
  </si>
  <si>
    <t>01019279</t>
  </si>
  <si>
    <t>01021598</t>
  </si>
  <si>
    <t>01021684</t>
  </si>
  <si>
    <t>WWSS5</t>
  </si>
  <si>
    <t>01022077</t>
  </si>
  <si>
    <t>Muluken</t>
  </si>
  <si>
    <t>WWSS3</t>
  </si>
  <si>
    <t>01026813</t>
  </si>
  <si>
    <t>01029129</t>
  </si>
  <si>
    <t>01029246</t>
  </si>
  <si>
    <t>01029462</t>
  </si>
  <si>
    <t>01029838</t>
  </si>
  <si>
    <t>01030416</t>
  </si>
  <si>
    <t>01030549</t>
  </si>
  <si>
    <t>01030729</t>
  </si>
  <si>
    <t>Loaded</t>
  </si>
  <si>
    <t>Total</t>
  </si>
  <si>
    <t>PAWE  WAREHOUSE</t>
  </si>
  <si>
    <t>Bure  WAREHOUSE</t>
  </si>
  <si>
    <t>Assosa WAREHOUSE</t>
  </si>
  <si>
    <t>01022449</t>
  </si>
  <si>
    <t>WWSS2</t>
  </si>
  <si>
    <t>01022639</t>
  </si>
  <si>
    <t xml:space="preserve"> 11/13/2024</t>
  </si>
  <si>
    <t xml:space="preserve"> WWSS2</t>
  </si>
  <si>
    <t>0102237</t>
  </si>
  <si>
    <t>Paid for533Q</t>
  </si>
  <si>
    <t>.</t>
  </si>
  <si>
    <t>\</t>
  </si>
  <si>
    <t xml:space="preserve">WOLLEGA  SESAME SEEDS </t>
  </si>
  <si>
    <t>Wolaiyta WAREHOUSE</t>
  </si>
  <si>
    <t>01017789</t>
  </si>
  <si>
    <t>01018358</t>
  </si>
  <si>
    <t>01018531</t>
  </si>
  <si>
    <t>01018702</t>
  </si>
  <si>
    <t>01021174</t>
  </si>
  <si>
    <t>01021411</t>
  </si>
  <si>
    <t>01021809</t>
  </si>
  <si>
    <t>01022157</t>
  </si>
  <si>
    <t>01022297</t>
  </si>
  <si>
    <t>01023106</t>
  </si>
  <si>
    <t>01024139</t>
  </si>
  <si>
    <t>01025551</t>
  </si>
  <si>
    <t>01025867</t>
  </si>
  <si>
    <t>01030025</t>
  </si>
  <si>
    <t>Delivery Sent</t>
  </si>
  <si>
    <t xml:space="preserve">HUMMERA SESAME SEEDS </t>
  </si>
  <si>
    <t>Humera  WAREHOUSE</t>
  </si>
  <si>
    <t>WHGSS3</t>
  </si>
  <si>
    <t>01022233</t>
  </si>
  <si>
    <t>WHGSS1</t>
  </si>
  <si>
    <t>01023015</t>
  </si>
  <si>
    <t>01023702</t>
  </si>
  <si>
    <t>WHGSS2</t>
  </si>
  <si>
    <t>01024269</t>
  </si>
  <si>
    <t>01025195</t>
  </si>
  <si>
    <t>01026326</t>
  </si>
  <si>
    <t>Deliver sent</t>
  </si>
  <si>
    <t>01028615</t>
  </si>
  <si>
    <t>Ahmed</t>
  </si>
  <si>
    <t>GONDER  WAREHOUSE</t>
  </si>
  <si>
    <t>01017543</t>
  </si>
  <si>
    <t>01017662</t>
  </si>
  <si>
    <t>01021086</t>
  </si>
  <si>
    <t>01023822</t>
  </si>
  <si>
    <t>01024951</t>
  </si>
  <si>
    <t>01025329</t>
  </si>
  <si>
    <t>01026431</t>
  </si>
  <si>
    <t>01027560</t>
  </si>
  <si>
    <t>01027651</t>
  </si>
  <si>
    <t>01027738</t>
  </si>
  <si>
    <t>01027821</t>
  </si>
  <si>
    <t>Biyazen….Paid</t>
  </si>
  <si>
    <t>01029505</t>
  </si>
  <si>
    <t>01029567</t>
  </si>
  <si>
    <t>01029611</t>
  </si>
  <si>
    <t>01029676</t>
  </si>
  <si>
    <t>01030144</t>
  </si>
  <si>
    <t>01030250</t>
  </si>
  <si>
    <t>Biyazen …..Paid</t>
  </si>
  <si>
    <t>01030821</t>
  </si>
  <si>
    <t>Dansha  WAREHOUSE</t>
  </si>
  <si>
    <t>01017431</t>
  </si>
  <si>
    <t>WGHSS2</t>
  </si>
  <si>
    <t>WGHSS3</t>
  </si>
  <si>
    <t>01022918</t>
  </si>
  <si>
    <t xml:space="preserve">                        </t>
  </si>
  <si>
    <t>01023583</t>
  </si>
  <si>
    <t>Goshe</t>
  </si>
  <si>
    <t xml:space="preserve">                          </t>
  </si>
  <si>
    <t>01025636</t>
  </si>
  <si>
    <t>01026059</t>
  </si>
  <si>
    <t>01026565</t>
  </si>
  <si>
    <t>01026651</t>
  </si>
  <si>
    <t>01026707</t>
  </si>
  <si>
    <t>01028562</t>
  </si>
  <si>
    <t>Sari /A.A/  WAREHOUSE</t>
  </si>
  <si>
    <t>01023311</t>
  </si>
  <si>
    <t>01023445</t>
  </si>
  <si>
    <t xml:space="preserve">                         </t>
  </si>
  <si>
    <t>Item</t>
  </si>
  <si>
    <t>ECX</t>
  </si>
  <si>
    <t>CF</t>
  </si>
  <si>
    <t>SSH</t>
  </si>
  <si>
    <t xml:space="preserve"> 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</si>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</sst>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\-#,##0.00;* ??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3" xfId="0" applyFont="1" applyBorder="1" applyAlignment="1">
      <alignment horizontal="center" wrapText="1"/>
    </xf>
    <xf numFmtId="43" fontId="2" fillId="0" borderId="4" xfId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43" fontId="3" fillId="0" borderId="4" xfId="1" applyFont="1" applyBorder="1" applyAlignment="1">
      <alignment horizontal="center"/>
    </xf>
    <xf numFmtId="43" fontId="3" fillId="0" borderId="4" xfId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/>
    <xf numFmtId="14" fontId="3" fillId="0" borderId="4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" fontId="0" fillId="0" borderId="0" xfId="0" applyNumberFormat="1"/>
    <xf numFmtId="0" fontId="3" fillId="0" borderId="0" xfId="0" applyFont="1"/>
    <xf numFmtId="0" fontId="3" fillId="3" borderId="4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14" fontId="2" fillId="0" borderId="4" xfId="1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1" applyNumberFormat="1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2" fillId="0" borderId="5" xfId="1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43" fontId="2" fillId="2" borderId="4" xfId="1" applyFont="1" applyFill="1" applyBorder="1" applyAlignment="1">
      <alignment horizontal="center" wrapText="1"/>
    </xf>
    <xf numFmtId="0" fontId="3" fillId="3" borderId="4" xfId="0" applyFont="1" applyFill="1" applyBorder="1"/>
    <xf numFmtId="4" fontId="0" fillId="0" borderId="0" xfId="0" applyNumberFormat="1" applyAlignment="1">
      <alignment horizontal="center"/>
    </xf>
    <xf numFmtId="43" fontId="2" fillId="0" borderId="0" xfId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43" fontId="2" fillId="0" borderId="3" xfId="1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/>
    </xf>
    <xf numFmtId="49" fontId="3" fillId="3" borderId="0" xfId="0" applyNumberFormat="1" applyFont="1" applyFill="1" applyAlignment="1">
      <alignment vertical="center"/>
    </xf>
    <xf numFmtId="14" fontId="3" fillId="3" borderId="0" xfId="0" applyNumberFormat="1" applyFont="1" applyFill="1"/>
    <xf numFmtId="14" fontId="3" fillId="3" borderId="0" xfId="0" applyNumberFormat="1" applyFont="1" applyFill="1" applyAlignment="1">
      <alignment vertical="center"/>
    </xf>
    <xf numFmtId="3" fontId="0" fillId="0" borderId="5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3" fillId="3" borderId="5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3" fillId="2" borderId="4" xfId="0" applyFont="1" applyFill="1" applyBorder="1"/>
    <xf numFmtId="14" fontId="3" fillId="3" borderId="4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43" fontId="2" fillId="3" borderId="0" xfId="1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49" fontId="6" fillId="3" borderId="0" xfId="0" applyNumberFormat="1" applyFont="1" applyFill="1" applyAlignment="1">
      <alignment horizontal="center" vertical="center"/>
    </xf>
    <xf numFmtId="0" fontId="6" fillId="3" borderId="0" xfId="0" applyFont="1" applyFill="1"/>
    <xf numFmtId="43" fontId="6" fillId="3" borderId="0" xfId="0" applyNumberFormat="1" applyFont="1" applyFill="1"/>
    <xf numFmtId="14" fontId="6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49" fontId="0" fillId="0" borderId="4" xfId="0" applyNumberFormat="1" applyBorder="1" applyAlignment="1">
      <alignment horizontal="center"/>
    </xf>
    <xf numFmtId="14" fontId="3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3" fontId="3" fillId="0" borderId="0" xfId="1" applyFont="1"/>
    <xf numFmtId="0" fontId="6" fillId="3" borderId="7" xfId="0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43" fontId="6" fillId="3" borderId="4" xfId="0" applyNumberFormat="1" applyFont="1" applyFill="1" applyBorder="1"/>
    <xf numFmtId="0" fontId="6" fillId="3" borderId="4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4" fontId="6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3" fontId="6" fillId="3" borderId="4" xfId="0" applyNumberFormat="1" applyFont="1" applyFill="1" applyBorder="1" applyAlignment="1">
      <alignment vertical="center"/>
    </xf>
    <xf numFmtId="14" fontId="6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43" fontId="6" fillId="2" borderId="4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4" xfId="0" applyFill="1" applyBorder="1"/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6" fillId="3" borderId="4" xfId="0" applyFont="1" applyFill="1" applyBorder="1"/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4" fontId="0" fillId="0" borderId="0" xfId="0" applyNumberFormat="1"/>
    <xf numFmtId="0" fontId="4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right"/>
    </xf>
    <xf numFmtId="43" fontId="8" fillId="0" borderId="0" xfId="1" applyFont="1"/>
    <xf numFmtId="0" fontId="10" fillId="0" borderId="4" xfId="0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3" fontId="12" fillId="0" borderId="4" xfId="0" applyNumberFormat="1" applyFont="1" applyBorder="1"/>
    <xf numFmtId="43" fontId="12" fillId="3" borderId="4" xfId="1" applyFont="1" applyFill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43" fontId="14" fillId="3" borderId="4" xfId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9F4D-637E-462E-A78A-FD1AF8BA0494}">
  <sheetPr>
    <pageSetUpPr fitToPage="1"/>
  </sheetPr>
  <dimension ref="A1:R798"/>
  <sheetViews>
    <sheetView tabSelected="1" topLeftCell="B40" zoomScaleNormal="100" workbookViewId="0"/>
  </sheetViews>
  <sheetFormatPr defaultRowHeight="15"/>
  <cols>
    <col min="1" max="1" width="13" customWidth="1"/>
    <col min="2" max="2" width="13.85546875" customWidth="1"/>
    <col min="3" max="3" width="14" customWidth="1"/>
    <col min="4" max="4" width="14.140625" customWidth="1"/>
    <col min="5" max="5" width="17" customWidth="1"/>
    <col min="6" max="6" width="13.42578125" customWidth="1"/>
    <col min="7" max="7" width="8.7109375" customWidth="1"/>
    <col min="8" max="8" width="17.140625" customWidth="1"/>
    <col min="9" max="9" width="10.28515625" customWidth="1"/>
    <col min="10" max="10" width="16.5703125" customWidth="1"/>
    <col min="11" max="11" width="15" customWidth="1"/>
    <col min="12" max="12" width="23.140625" customWidth="1"/>
    <col min="13" max="13" width="18.7109375" customWidth="1"/>
    <col min="14" max="14" width="17" customWidth="1"/>
    <col min="15" max="15" width="11.7109375" bestFit="1" customWidth="1"/>
    <col min="16" max="16" width="23.2851562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6.75">
      <c r="A3" s="4" t="s">
        <v>2</v>
      </c>
      <c r="B3" s="5" t="s">
        <v>3</v>
      </c>
      <c r="C3" s="6" t="s">
        <v>4</v>
      </c>
      <c r="D3" s="7" t="s">
        <v>5</v>
      </c>
      <c r="E3" s="5" t="s">
        <v>6</v>
      </c>
      <c r="F3" s="8" t="s">
        <v>7</v>
      </c>
      <c r="G3" s="9" t="s">
        <v>8</v>
      </c>
      <c r="H3" s="9"/>
      <c r="I3" s="6" t="s">
        <v>9</v>
      </c>
      <c r="J3" s="5" t="s">
        <v>10</v>
      </c>
      <c r="K3" s="5" t="s">
        <v>11</v>
      </c>
      <c r="L3" s="7" t="s">
        <v>12</v>
      </c>
    </row>
    <row r="4" spans="1:12">
      <c r="A4" s="10" t="s">
        <v>13</v>
      </c>
      <c r="B4" s="11" t="s">
        <v>14</v>
      </c>
      <c r="C4" s="12">
        <v>1741640</v>
      </c>
      <c r="D4" s="12">
        <v>69.88</v>
      </c>
      <c r="E4" s="13">
        <v>69.88</v>
      </c>
      <c r="F4" s="13"/>
      <c r="G4" s="13"/>
      <c r="H4" s="13"/>
      <c r="I4" s="13"/>
      <c r="J4" s="14">
        <v>45610</v>
      </c>
      <c r="K4" s="14">
        <v>45620</v>
      </c>
      <c r="L4" s="10" t="s">
        <v>15</v>
      </c>
    </row>
    <row r="5" spans="1:12">
      <c r="A5" s="10"/>
      <c r="B5" s="11"/>
      <c r="C5" s="12"/>
      <c r="D5" s="12"/>
      <c r="E5" s="13">
        <f>E4+D5</f>
        <v>69.88</v>
      </c>
      <c r="F5" s="13"/>
      <c r="G5" s="13"/>
      <c r="H5" s="13"/>
      <c r="I5" s="13"/>
      <c r="J5" s="14"/>
      <c r="K5" s="14"/>
      <c r="L5" s="10"/>
    </row>
    <row r="6" spans="1:12">
      <c r="A6" s="10"/>
      <c r="B6" s="11"/>
      <c r="C6" s="12"/>
      <c r="D6" s="12"/>
      <c r="E6" s="13">
        <f t="shared" ref="E6:E16" si="0">E5+D6</f>
        <v>69.88</v>
      </c>
      <c r="F6" s="13"/>
      <c r="G6" s="13"/>
      <c r="H6" s="13"/>
      <c r="I6" s="13"/>
      <c r="J6" s="14"/>
      <c r="K6" s="14"/>
      <c r="L6" s="10"/>
    </row>
    <row r="7" spans="1:12">
      <c r="A7" s="10"/>
      <c r="B7" s="11"/>
      <c r="C7" s="12"/>
      <c r="D7" s="12"/>
      <c r="E7" s="13">
        <f t="shared" si="0"/>
        <v>69.88</v>
      </c>
      <c r="F7" s="13"/>
      <c r="G7" s="13"/>
      <c r="H7" s="13"/>
      <c r="I7" s="13"/>
      <c r="J7" s="14"/>
      <c r="K7" s="14"/>
      <c r="L7" s="10"/>
    </row>
    <row r="8" spans="1:12">
      <c r="A8" s="10"/>
      <c r="B8" s="11"/>
      <c r="C8" s="12"/>
      <c r="D8" s="12"/>
      <c r="E8" s="13">
        <f t="shared" si="0"/>
        <v>69.88</v>
      </c>
      <c r="F8" s="13"/>
      <c r="G8" s="13"/>
      <c r="H8" s="13"/>
      <c r="I8" s="13"/>
      <c r="J8" s="14"/>
      <c r="K8" s="14"/>
      <c r="L8" s="10"/>
    </row>
    <row r="9" spans="1:12">
      <c r="A9" s="10"/>
      <c r="B9" s="11"/>
      <c r="C9" s="12"/>
      <c r="D9" s="12"/>
      <c r="E9" s="13">
        <f t="shared" si="0"/>
        <v>69.88</v>
      </c>
      <c r="F9" s="13"/>
      <c r="G9" s="13"/>
      <c r="H9" s="13"/>
      <c r="I9" s="13"/>
      <c r="J9" s="14"/>
      <c r="K9" s="14"/>
      <c r="L9" s="10"/>
    </row>
    <row r="10" spans="1:12" ht="15" customHeight="1">
      <c r="A10" s="10"/>
      <c r="B10" s="11"/>
      <c r="C10" s="12"/>
      <c r="D10" s="12"/>
      <c r="E10" s="13">
        <f t="shared" si="0"/>
        <v>69.88</v>
      </c>
      <c r="F10" s="13"/>
      <c r="G10" s="13"/>
      <c r="H10" s="13"/>
      <c r="I10" s="13"/>
      <c r="J10" s="14"/>
      <c r="K10" s="14"/>
      <c r="L10" s="10"/>
    </row>
    <row r="11" spans="1:12" ht="17.25" customHeight="1">
      <c r="A11" s="10"/>
      <c r="B11" s="11"/>
      <c r="C11" s="12"/>
      <c r="D11" s="12"/>
      <c r="E11" s="13">
        <f t="shared" si="0"/>
        <v>69.88</v>
      </c>
      <c r="F11" s="13"/>
      <c r="G11" s="13"/>
      <c r="H11" s="13"/>
      <c r="I11" s="13"/>
      <c r="J11" s="14"/>
      <c r="K11" s="14"/>
      <c r="L11" s="10"/>
    </row>
    <row r="12" spans="1:12">
      <c r="A12" s="15"/>
      <c r="B12" s="16"/>
      <c r="C12" s="12"/>
      <c r="D12" s="12"/>
      <c r="E12" s="13">
        <f t="shared" si="0"/>
        <v>69.88</v>
      </c>
      <c r="F12" s="13"/>
      <c r="G12" s="13"/>
      <c r="H12" s="13"/>
      <c r="I12" s="13"/>
      <c r="J12" s="17"/>
      <c r="K12" s="17"/>
      <c r="L12" s="15"/>
    </row>
    <row r="13" spans="1:12">
      <c r="A13" s="15"/>
      <c r="B13" s="16"/>
      <c r="C13" s="12"/>
      <c r="D13" s="12"/>
      <c r="E13" s="13">
        <f t="shared" si="0"/>
        <v>69.88</v>
      </c>
      <c r="F13" s="13"/>
      <c r="G13" s="13"/>
      <c r="H13" s="13"/>
      <c r="I13" s="13"/>
      <c r="J13" s="17"/>
      <c r="K13" s="17"/>
      <c r="L13" s="15"/>
    </row>
    <row r="14" spans="1:12">
      <c r="A14" s="15"/>
      <c r="B14" s="16"/>
      <c r="C14" s="12"/>
      <c r="D14" s="12"/>
      <c r="E14" s="13">
        <f t="shared" si="0"/>
        <v>69.88</v>
      </c>
      <c r="F14" s="13"/>
      <c r="G14" s="13"/>
      <c r="H14" s="13"/>
      <c r="I14" s="13"/>
      <c r="J14" s="17"/>
      <c r="K14" s="17"/>
      <c r="L14" s="15"/>
    </row>
    <row r="15" spans="1:12">
      <c r="A15" s="12"/>
      <c r="B15" s="12"/>
      <c r="C15" s="12"/>
      <c r="D15" s="12"/>
      <c r="E15" s="13">
        <f t="shared" si="0"/>
        <v>69.88</v>
      </c>
      <c r="F15" s="13"/>
      <c r="G15" s="13"/>
      <c r="H15" s="18"/>
      <c r="I15" s="19"/>
      <c r="J15" s="14"/>
      <c r="K15" s="14"/>
      <c r="L15" s="20"/>
    </row>
    <row r="16" spans="1:12">
      <c r="A16" s="21"/>
      <c r="B16" s="22"/>
      <c r="C16" s="12"/>
      <c r="D16" s="12"/>
      <c r="E16" s="23">
        <f t="shared" si="0"/>
        <v>69.88</v>
      </c>
      <c r="F16" s="13"/>
      <c r="G16" s="13"/>
      <c r="H16" s="18"/>
      <c r="I16" s="19"/>
      <c r="J16" s="14"/>
      <c r="K16" s="14"/>
      <c r="L16" s="20"/>
    </row>
    <row r="17" spans="1:12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2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6.75">
      <c r="A19" s="4" t="s">
        <v>2</v>
      </c>
      <c r="B19" s="5" t="s">
        <v>3</v>
      </c>
      <c r="C19" s="6" t="s">
        <v>4</v>
      </c>
      <c r="D19" s="24" t="s">
        <v>5</v>
      </c>
      <c r="E19" s="5" t="s">
        <v>6</v>
      </c>
      <c r="F19" s="8" t="s">
        <v>7</v>
      </c>
      <c r="G19" s="9" t="s">
        <v>8</v>
      </c>
      <c r="H19" s="9"/>
      <c r="I19" s="6" t="s">
        <v>9</v>
      </c>
      <c r="J19" s="5" t="s">
        <v>10</v>
      </c>
      <c r="K19" s="5" t="s">
        <v>11</v>
      </c>
      <c r="L19" s="24" t="s">
        <v>12</v>
      </c>
    </row>
    <row r="20" spans="1:12">
      <c r="A20" s="25" t="s">
        <v>18</v>
      </c>
      <c r="B20" s="11" t="s">
        <v>19</v>
      </c>
      <c r="C20" s="12">
        <v>1736575</v>
      </c>
      <c r="D20" s="12">
        <v>205.8</v>
      </c>
      <c r="E20" s="12">
        <v>205.8</v>
      </c>
      <c r="F20" s="13"/>
      <c r="G20" s="13"/>
      <c r="H20" s="13"/>
      <c r="I20" s="13"/>
      <c r="J20" s="14">
        <v>45539</v>
      </c>
      <c r="K20" s="14">
        <v>45549</v>
      </c>
      <c r="L20" s="10" t="s">
        <v>15</v>
      </c>
    </row>
    <row r="21" spans="1:12">
      <c r="A21" s="25" t="s">
        <v>18</v>
      </c>
      <c r="B21" s="11" t="s">
        <v>20</v>
      </c>
      <c r="C21" s="12">
        <v>1739887</v>
      </c>
      <c r="D21" s="12">
        <v>79.989999999999995</v>
      </c>
      <c r="E21" s="13">
        <f>E20+D21</f>
        <v>285.79000000000002</v>
      </c>
      <c r="F21" s="13"/>
      <c r="G21" s="13"/>
      <c r="H21" s="13"/>
      <c r="I21" s="13"/>
      <c r="J21" s="14">
        <v>45588</v>
      </c>
      <c r="K21" s="14">
        <v>45598</v>
      </c>
      <c r="L21" s="10" t="s">
        <v>15</v>
      </c>
    </row>
    <row r="22" spans="1:12">
      <c r="A22" s="26" t="s">
        <v>18</v>
      </c>
      <c r="B22" s="11" t="s">
        <v>21</v>
      </c>
      <c r="C22" s="12">
        <v>1740030</v>
      </c>
      <c r="D22" s="12">
        <v>183.51</v>
      </c>
      <c r="E22" s="13">
        <f t="shared" ref="E22:E45" si="1">E21+D22</f>
        <v>469.3</v>
      </c>
      <c r="F22" s="13"/>
      <c r="G22" s="13"/>
      <c r="H22" s="13"/>
      <c r="I22" s="13"/>
      <c r="J22" s="27">
        <v>45589</v>
      </c>
      <c r="K22" s="27">
        <v>45599</v>
      </c>
      <c r="L22" s="10" t="s">
        <v>15</v>
      </c>
    </row>
    <row r="23" spans="1:12">
      <c r="A23" s="28" t="s">
        <v>22</v>
      </c>
      <c r="B23" s="29" t="s">
        <v>23</v>
      </c>
      <c r="C23" s="12">
        <v>1740691</v>
      </c>
      <c r="D23" s="12">
        <v>51.6</v>
      </c>
      <c r="E23" s="13">
        <f t="shared" si="1"/>
        <v>520.9</v>
      </c>
      <c r="F23" s="12"/>
      <c r="G23" s="12"/>
      <c r="H23" s="12"/>
      <c r="I23" s="12"/>
      <c r="J23" s="30">
        <v>45600</v>
      </c>
      <c r="K23" s="30">
        <v>45610</v>
      </c>
      <c r="L23" s="28" t="s">
        <v>15</v>
      </c>
    </row>
    <row r="24" spans="1:12">
      <c r="A24" s="31"/>
      <c r="B24" s="32"/>
      <c r="C24" s="12">
        <v>1740689</v>
      </c>
      <c r="D24" s="12">
        <v>19.34</v>
      </c>
      <c r="E24" s="23">
        <f t="shared" si="1"/>
        <v>540.24</v>
      </c>
      <c r="F24" s="33" t="s">
        <v>24</v>
      </c>
      <c r="G24" s="34"/>
      <c r="H24" s="13"/>
      <c r="I24" s="13"/>
      <c r="J24" s="35"/>
      <c r="K24" s="35"/>
      <c r="L24" s="31"/>
    </row>
    <row r="25" spans="1:12">
      <c r="A25" s="10" t="s">
        <v>25</v>
      </c>
      <c r="B25" s="11" t="s">
        <v>26</v>
      </c>
      <c r="C25" s="12">
        <v>1747863</v>
      </c>
      <c r="D25" s="12">
        <v>101.62</v>
      </c>
      <c r="E25" s="13">
        <f t="shared" si="1"/>
        <v>641.86</v>
      </c>
      <c r="F25" s="13"/>
      <c r="G25" s="13"/>
      <c r="H25" s="36">
        <v>15007.4</v>
      </c>
      <c r="I25" s="13"/>
      <c r="J25" s="14">
        <v>45667</v>
      </c>
      <c r="K25" s="14">
        <v>45677</v>
      </c>
      <c r="L25" s="10" t="s">
        <v>15</v>
      </c>
    </row>
    <row r="26" spans="1:12">
      <c r="A26" s="28" t="s">
        <v>25</v>
      </c>
      <c r="B26" s="29" t="s">
        <v>27</v>
      </c>
      <c r="C26" s="12">
        <v>1751279</v>
      </c>
      <c r="D26" s="12">
        <v>209.53</v>
      </c>
      <c r="E26" s="13">
        <f t="shared" si="1"/>
        <v>851.39</v>
      </c>
      <c r="F26" s="13"/>
      <c r="G26" s="13"/>
      <c r="H26" s="36"/>
      <c r="I26" s="13"/>
      <c r="J26" s="30">
        <v>45706</v>
      </c>
      <c r="K26" s="30">
        <v>45711</v>
      </c>
      <c r="L26" s="28" t="s">
        <v>15</v>
      </c>
    </row>
    <row r="27" spans="1:12">
      <c r="A27" s="31"/>
      <c r="B27" s="32"/>
      <c r="C27" s="12">
        <v>1751280</v>
      </c>
      <c r="D27" s="12">
        <v>40.03</v>
      </c>
      <c r="E27" s="13">
        <f t="shared" si="1"/>
        <v>891.42</v>
      </c>
      <c r="F27" s="13"/>
      <c r="G27" s="13"/>
      <c r="H27" s="36">
        <v>15618.74</v>
      </c>
      <c r="I27" s="13"/>
      <c r="J27" s="35"/>
      <c r="K27" s="35"/>
      <c r="L27" s="31"/>
    </row>
    <row r="28" spans="1:12">
      <c r="A28" s="28" t="s">
        <v>25</v>
      </c>
      <c r="B28" s="29" t="s">
        <v>28</v>
      </c>
      <c r="C28" s="12">
        <v>1751471</v>
      </c>
      <c r="D28" s="12">
        <v>20.399999999999999</v>
      </c>
      <c r="E28" s="13">
        <f t="shared" si="1"/>
        <v>911.81999999999994</v>
      </c>
      <c r="F28" s="13"/>
      <c r="G28" s="13"/>
      <c r="H28" s="36"/>
      <c r="I28" s="13"/>
      <c r="J28" s="30">
        <v>45708</v>
      </c>
      <c r="K28" s="30">
        <v>45713</v>
      </c>
      <c r="L28" s="28" t="s">
        <v>15</v>
      </c>
    </row>
    <row r="29" spans="1:12">
      <c r="A29" s="37"/>
      <c r="B29" s="38"/>
      <c r="C29" s="12">
        <v>1751470</v>
      </c>
      <c r="D29" s="12">
        <v>39.89</v>
      </c>
      <c r="E29" s="13">
        <f t="shared" si="1"/>
        <v>951.70999999999992</v>
      </c>
      <c r="F29" s="13"/>
      <c r="G29" s="13"/>
      <c r="H29" s="36"/>
      <c r="I29" s="13"/>
      <c r="J29" s="39"/>
      <c r="K29" s="39"/>
      <c r="L29" s="37"/>
    </row>
    <row r="30" spans="1:12">
      <c r="A30" s="31"/>
      <c r="B30" s="32"/>
      <c r="C30" s="12">
        <v>1751469</v>
      </c>
      <c r="D30" s="12">
        <v>59.77</v>
      </c>
      <c r="E30" s="13">
        <f t="shared" si="1"/>
        <v>1011.4799999999999</v>
      </c>
      <c r="F30" s="13"/>
      <c r="G30" s="13"/>
      <c r="H30" s="36">
        <v>15617.83</v>
      </c>
      <c r="I30" s="12"/>
      <c r="J30" s="35"/>
      <c r="K30" s="35"/>
      <c r="L30" s="31"/>
    </row>
    <row r="31" spans="1:12">
      <c r="A31" s="10" t="s">
        <v>18</v>
      </c>
      <c r="B31" s="11" t="s">
        <v>29</v>
      </c>
      <c r="C31" s="12">
        <v>1751782</v>
      </c>
      <c r="D31" s="12">
        <v>99.61</v>
      </c>
      <c r="E31" s="13">
        <f t="shared" si="1"/>
        <v>1111.0899999999999</v>
      </c>
      <c r="F31" s="13"/>
      <c r="G31" s="13"/>
      <c r="H31" s="36"/>
      <c r="I31" s="13"/>
      <c r="J31" s="14">
        <v>45714</v>
      </c>
      <c r="K31" s="14">
        <v>45719</v>
      </c>
      <c r="L31" s="28" t="s">
        <v>15</v>
      </c>
    </row>
    <row r="32" spans="1:12">
      <c r="A32" s="10" t="s">
        <v>18</v>
      </c>
      <c r="B32" s="11" t="s">
        <v>30</v>
      </c>
      <c r="C32" s="12">
        <v>1752279</v>
      </c>
      <c r="D32" s="12">
        <v>50.41</v>
      </c>
      <c r="E32" s="13">
        <f t="shared" si="1"/>
        <v>1161.5</v>
      </c>
      <c r="F32" s="13"/>
      <c r="G32" s="13"/>
      <c r="H32" s="36"/>
      <c r="I32" s="13"/>
      <c r="J32" s="14">
        <v>45722</v>
      </c>
      <c r="K32" s="14">
        <v>45727</v>
      </c>
      <c r="L32" s="31"/>
    </row>
    <row r="33" spans="1:13">
      <c r="A33" s="28" t="s">
        <v>18</v>
      </c>
      <c r="B33" s="29" t="s">
        <v>31</v>
      </c>
      <c r="C33" s="12">
        <v>1753008</v>
      </c>
      <c r="D33" s="12">
        <v>100.02</v>
      </c>
      <c r="E33" s="13">
        <f t="shared" si="1"/>
        <v>1261.52</v>
      </c>
      <c r="F33" s="13"/>
      <c r="G33" s="13"/>
      <c r="H33" s="36"/>
      <c r="I33" s="13"/>
      <c r="J33" s="30">
        <v>45734</v>
      </c>
      <c r="K33" s="30">
        <v>45743</v>
      </c>
      <c r="L33" s="28" t="s">
        <v>15</v>
      </c>
    </row>
    <row r="34" spans="1:13">
      <c r="A34" s="31"/>
      <c r="B34" s="32"/>
      <c r="C34" s="12">
        <v>175009</v>
      </c>
      <c r="D34" s="12">
        <v>100.02</v>
      </c>
      <c r="E34" s="13">
        <f t="shared" si="1"/>
        <v>1361.54</v>
      </c>
      <c r="F34" s="13"/>
      <c r="G34" s="13"/>
      <c r="H34" s="36"/>
      <c r="I34" s="13"/>
      <c r="J34" s="35"/>
      <c r="K34" s="35"/>
      <c r="L34" s="31"/>
    </row>
    <row r="35" spans="1:13">
      <c r="A35" s="28" t="s">
        <v>25</v>
      </c>
      <c r="B35" s="29" t="s">
        <v>32</v>
      </c>
      <c r="C35" s="12">
        <v>1753169</v>
      </c>
      <c r="D35" s="12">
        <v>50.01</v>
      </c>
      <c r="E35" s="13">
        <f t="shared" si="1"/>
        <v>1411.55</v>
      </c>
      <c r="F35" s="13"/>
      <c r="G35" s="13"/>
      <c r="H35" s="36"/>
      <c r="I35" s="13"/>
      <c r="J35" s="30">
        <v>45736</v>
      </c>
      <c r="K35" s="30">
        <v>45741</v>
      </c>
      <c r="L35" s="28" t="s">
        <v>15</v>
      </c>
    </row>
    <row r="36" spans="1:13">
      <c r="A36" s="37"/>
      <c r="B36" s="38"/>
      <c r="C36" s="12">
        <v>1753170</v>
      </c>
      <c r="D36" s="12">
        <v>46.1</v>
      </c>
      <c r="E36" s="13">
        <f t="shared" si="1"/>
        <v>1457.6499999999999</v>
      </c>
      <c r="F36" s="13"/>
      <c r="G36" s="13"/>
      <c r="H36" s="36"/>
      <c r="I36" s="13"/>
      <c r="J36" s="39"/>
      <c r="K36" s="39"/>
      <c r="L36" s="37"/>
    </row>
    <row r="37" spans="1:13">
      <c r="A37" s="37"/>
      <c r="B37" s="38"/>
      <c r="C37" s="12">
        <v>1753171</v>
      </c>
      <c r="D37" s="12">
        <v>105.6</v>
      </c>
      <c r="E37" s="13">
        <f t="shared" si="1"/>
        <v>1563.2499999999998</v>
      </c>
      <c r="F37" s="13"/>
      <c r="G37" s="13"/>
      <c r="H37" s="36"/>
      <c r="I37" s="12"/>
      <c r="J37" s="39"/>
      <c r="K37" s="39"/>
      <c r="L37" s="37"/>
    </row>
    <row r="38" spans="1:13">
      <c r="A38" s="31"/>
      <c r="B38" s="32"/>
      <c r="C38" s="12">
        <v>1753172</v>
      </c>
      <c r="D38" s="12">
        <v>43.46</v>
      </c>
      <c r="E38" s="13">
        <f t="shared" si="1"/>
        <v>1606.7099999999998</v>
      </c>
      <c r="F38" s="13"/>
      <c r="G38" s="13"/>
      <c r="H38" s="36"/>
      <c r="I38" s="12">
        <v>67.959999999999994</v>
      </c>
      <c r="J38" s="35"/>
      <c r="K38" s="35"/>
      <c r="L38" s="31"/>
    </row>
    <row r="39" spans="1:13">
      <c r="A39" s="28" t="s">
        <v>25</v>
      </c>
      <c r="B39" s="29" t="s">
        <v>33</v>
      </c>
      <c r="C39" s="12">
        <v>1753478</v>
      </c>
      <c r="D39" s="12">
        <v>52.87</v>
      </c>
      <c r="E39" s="13">
        <f t="shared" si="1"/>
        <v>1659.5799999999997</v>
      </c>
      <c r="F39" s="13"/>
      <c r="G39" s="13"/>
      <c r="H39" s="36"/>
      <c r="I39" s="13">
        <f>SUM(I37:I38)</f>
        <v>67.959999999999994</v>
      </c>
      <c r="J39" s="30">
        <v>45743</v>
      </c>
      <c r="K39" s="30">
        <v>45748</v>
      </c>
      <c r="L39" s="28" t="s">
        <v>34</v>
      </c>
    </row>
    <row r="40" spans="1:13">
      <c r="A40" s="31"/>
      <c r="B40" s="32"/>
      <c r="C40" s="12">
        <v>1753479</v>
      </c>
      <c r="D40" s="12">
        <v>15.09</v>
      </c>
      <c r="E40" s="13">
        <f t="shared" si="1"/>
        <v>1674.6699999999996</v>
      </c>
      <c r="F40" s="13"/>
      <c r="G40" s="13"/>
      <c r="H40" s="36"/>
      <c r="I40" s="13"/>
      <c r="J40" s="35"/>
      <c r="K40" s="35"/>
      <c r="L40" s="31"/>
    </row>
    <row r="41" spans="1:13">
      <c r="A41" s="28" t="s">
        <v>25</v>
      </c>
      <c r="B41" s="16"/>
      <c r="C41" s="12">
        <v>1753624</v>
      </c>
      <c r="D41" s="12">
        <v>15.31</v>
      </c>
      <c r="E41" s="13">
        <f t="shared" si="1"/>
        <v>1689.9799999999996</v>
      </c>
      <c r="F41" s="13"/>
      <c r="G41" s="13"/>
      <c r="H41" s="36"/>
      <c r="I41" s="13"/>
      <c r="J41" s="30">
        <v>45747</v>
      </c>
      <c r="K41" s="30">
        <v>45752</v>
      </c>
      <c r="L41" s="28" t="s">
        <v>34</v>
      </c>
      <c r="M41" s="40"/>
    </row>
    <row r="42" spans="1:13">
      <c r="A42" s="31"/>
      <c r="B42" s="16"/>
      <c r="C42" s="12">
        <v>1753625</v>
      </c>
      <c r="D42" s="12">
        <v>94.49</v>
      </c>
      <c r="E42" s="13">
        <f t="shared" si="1"/>
        <v>1784.4699999999996</v>
      </c>
      <c r="F42" s="13"/>
      <c r="G42" s="13"/>
      <c r="H42" s="36"/>
      <c r="I42" s="13"/>
      <c r="J42" s="35"/>
      <c r="K42" s="35"/>
      <c r="L42" s="31"/>
    </row>
    <row r="43" spans="1:13">
      <c r="A43" s="10"/>
      <c r="B43" s="11"/>
      <c r="C43" s="12"/>
      <c r="D43" s="12"/>
      <c r="E43" s="13">
        <f t="shared" si="1"/>
        <v>1784.4699999999996</v>
      </c>
      <c r="F43" s="13"/>
      <c r="G43" s="13"/>
      <c r="H43" s="36"/>
      <c r="I43" s="12"/>
      <c r="J43" s="14"/>
      <c r="K43" s="14"/>
      <c r="L43" s="10"/>
    </row>
    <row r="44" spans="1:13">
      <c r="A44" s="41"/>
      <c r="B44" s="41"/>
      <c r="C44" s="41"/>
      <c r="D44" s="41"/>
      <c r="E44" s="13">
        <f t="shared" si="1"/>
        <v>1784.4699999999996</v>
      </c>
      <c r="F44" s="41"/>
      <c r="G44" s="41"/>
      <c r="H44" s="41"/>
      <c r="I44" s="41"/>
      <c r="J44" s="41"/>
      <c r="K44" s="41"/>
      <c r="L44" s="41"/>
    </row>
    <row r="45" spans="1:13">
      <c r="A45" s="41"/>
      <c r="B45" s="41" t="s">
        <v>35</v>
      </c>
      <c r="C45" s="41"/>
      <c r="D45" s="41"/>
      <c r="E45" s="13">
        <f t="shared" si="1"/>
        <v>1784.4699999999996</v>
      </c>
      <c r="F45" s="41"/>
      <c r="G45" s="41"/>
      <c r="H45" s="41"/>
      <c r="I45" s="41"/>
      <c r="J45" s="41"/>
      <c r="K45" s="41"/>
      <c r="L45" s="41"/>
    </row>
    <row r="46" spans="1:13">
      <c r="A46" s="1" t="s">
        <v>16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40"/>
    </row>
    <row r="47" spans="1:13">
      <c r="A47" s="2" t="s">
        <v>36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3" ht="36.75">
      <c r="A48" s="4" t="s">
        <v>2</v>
      </c>
      <c r="B48" s="5" t="s">
        <v>3</v>
      </c>
      <c r="C48" s="6" t="s">
        <v>4</v>
      </c>
      <c r="D48" s="24" t="s">
        <v>5</v>
      </c>
      <c r="E48" s="5" t="s">
        <v>6</v>
      </c>
      <c r="F48" s="8" t="s">
        <v>7</v>
      </c>
      <c r="G48" s="9" t="s">
        <v>8</v>
      </c>
      <c r="H48" s="9"/>
      <c r="I48" s="6" t="s">
        <v>9</v>
      </c>
      <c r="J48" s="5" t="s">
        <v>10</v>
      </c>
      <c r="K48" s="5" t="s">
        <v>11</v>
      </c>
      <c r="L48" s="7" t="s">
        <v>12</v>
      </c>
    </row>
    <row r="49" spans="1:12">
      <c r="A49" s="42"/>
      <c r="B49" s="43"/>
      <c r="C49" s="12"/>
      <c r="D49" s="12"/>
      <c r="E49" s="12"/>
      <c r="F49" s="12"/>
      <c r="G49" s="12"/>
      <c r="H49" s="12"/>
      <c r="I49" s="12"/>
      <c r="J49" s="44"/>
      <c r="K49" s="44"/>
      <c r="L49" s="42"/>
    </row>
    <row r="50" spans="1:12">
      <c r="A50" s="42"/>
      <c r="B50" s="43"/>
      <c r="C50" s="12"/>
      <c r="D50" s="12"/>
      <c r="E50" s="45"/>
      <c r="F50" s="12"/>
      <c r="G50" s="12"/>
      <c r="H50" s="12"/>
      <c r="I50" s="12"/>
      <c r="J50" s="44"/>
      <c r="K50" s="44"/>
      <c r="L50" s="42"/>
    </row>
    <row r="51" spans="1:12">
      <c r="A51" s="42"/>
      <c r="B51" s="43"/>
      <c r="C51" s="42"/>
      <c r="D51" s="12"/>
      <c r="E51" s="45"/>
      <c r="F51" s="12"/>
      <c r="G51" s="12"/>
      <c r="H51" s="12"/>
      <c r="I51" s="12"/>
      <c r="J51" s="44"/>
      <c r="K51" s="44"/>
      <c r="L51" s="42"/>
    </row>
    <row r="52" spans="1:12">
      <c r="A52" s="42"/>
      <c r="B52" s="43"/>
      <c r="C52" s="42"/>
      <c r="D52" s="12"/>
      <c r="E52" s="45"/>
      <c r="F52" s="12"/>
      <c r="G52" s="12"/>
      <c r="H52" s="12"/>
      <c r="I52" s="12"/>
      <c r="J52" s="44"/>
      <c r="K52" s="44"/>
      <c r="L52" s="42"/>
    </row>
    <row r="53" spans="1:12">
      <c r="A53" s="42"/>
      <c r="B53" s="43"/>
      <c r="C53" s="42"/>
      <c r="D53" s="42"/>
      <c r="E53" s="45"/>
      <c r="F53" s="12"/>
      <c r="G53" s="12"/>
      <c r="H53" s="12"/>
      <c r="I53" s="12"/>
      <c r="J53" s="44"/>
      <c r="K53" s="44"/>
      <c r="L53" s="42"/>
    </row>
    <row r="54" spans="1:12">
      <c r="A54" s="42"/>
      <c r="B54" s="43"/>
      <c r="C54" s="42"/>
      <c r="D54" s="42"/>
      <c r="E54" s="12"/>
      <c r="F54" s="12"/>
      <c r="G54" s="12"/>
      <c r="H54" s="12"/>
      <c r="I54" s="12"/>
      <c r="J54" s="44"/>
      <c r="K54" s="44"/>
      <c r="L54" s="42"/>
    </row>
    <row r="55" spans="1:12">
      <c r="A55" s="42"/>
      <c r="B55" s="43"/>
      <c r="C55" s="42"/>
      <c r="D55" s="42"/>
      <c r="E55" s="12"/>
      <c r="F55" s="12"/>
      <c r="G55" s="12"/>
      <c r="H55" s="12"/>
      <c r="I55" s="12"/>
      <c r="J55" s="44"/>
      <c r="K55" s="44"/>
      <c r="L55" s="42"/>
    </row>
    <row r="56" spans="1:12">
      <c r="A56" s="42"/>
      <c r="B56" s="43"/>
      <c r="C56" s="42"/>
      <c r="D56" s="42"/>
      <c r="E56" s="12"/>
      <c r="F56" s="12"/>
      <c r="G56" s="12"/>
      <c r="H56" s="12"/>
      <c r="I56" s="12"/>
      <c r="J56" s="44"/>
      <c r="K56" s="44"/>
      <c r="L56" s="42"/>
    </row>
    <row r="57" spans="1:12">
      <c r="A57" s="42"/>
      <c r="B57" s="43"/>
      <c r="C57" s="42"/>
      <c r="D57" s="42"/>
      <c r="E57" s="12"/>
      <c r="F57" s="12"/>
      <c r="G57" s="12"/>
      <c r="H57" s="12"/>
      <c r="I57" s="12"/>
      <c r="J57" s="44"/>
      <c r="K57" s="44"/>
      <c r="L57" s="42"/>
    </row>
    <row r="58" spans="1:12">
      <c r="A58" s="46" t="s">
        <v>35</v>
      </c>
      <c r="B58" s="47"/>
      <c r="C58" s="42"/>
      <c r="D58" s="42"/>
      <c r="E58" s="23"/>
      <c r="F58" s="12"/>
      <c r="G58" s="12"/>
      <c r="H58" s="12"/>
      <c r="I58" s="12"/>
      <c r="J58" s="44"/>
      <c r="K58" s="44"/>
      <c r="L58" s="42"/>
    </row>
    <row r="59" spans="1:12">
      <c r="A59" s="48"/>
      <c r="B59" s="49"/>
      <c r="C59" s="50"/>
      <c r="D59" s="50"/>
      <c r="E59" s="41"/>
      <c r="F59" s="41"/>
      <c r="G59" s="41"/>
      <c r="H59" s="41"/>
      <c r="I59" s="41"/>
      <c r="J59" s="51"/>
      <c r="K59" s="51"/>
      <c r="L59" s="48"/>
    </row>
    <row r="60" spans="1:12">
      <c r="A60" s="3" t="s">
        <v>16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2" t="s">
        <v>37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36.75">
      <c r="A62" s="4" t="s">
        <v>2</v>
      </c>
      <c r="B62" s="5" t="s">
        <v>3</v>
      </c>
      <c r="C62" s="6" t="s">
        <v>4</v>
      </c>
      <c r="D62" s="7" t="s">
        <v>5</v>
      </c>
      <c r="E62" s="5" t="s">
        <v>6</v>
      </c>
      <c r="F62" s="8" t="s">
        <v>7</v>
      </c>
      <c r="G62" s="9" t="s">
        <v>8</v>
      </c>
      <c r="H62" s="9"/>
      <c r="I62" s="6" t="s">
        <v>9</v>
      </c>
      <c r="J62" s="5" t="s">
        <v>10</v>
      </c>
      <c r="K62" s="5" t="s">
        <v>11</v>
      </c>
      <c r="L62" s="7" t="s">
        <v>12</v>
      </c>
    </row>
    <row r="63" spans="1:12">
      <c r="A63" s="52"/>
      <c r="B63" s="53"/>
      <c r="C63" s="54"/>
      <c r="D63" s="55"/>
      <c r="E63" s="5"/>
      <c r="F63" s="8"/>
      <c r="G63" s="5"/>
      <c r="H63" s="5"/>
      <c r="I63" s="6"/>
      <c r="J63" s="56"/>
      <c r="K63" s="56"/>
      <c r="L63" s="7"/>
    </row>
    <row r="64" spans="1:12">
      <c r="A64" s="52"/>
      <c r="B64" s="53"/>
      <c r="C64" s="54"/>
      <c r="D64" s="55"/>
      <c r="E64" s="5"/>
      <c r="F64" s="8"/>
      <c r="G64" s="5"/>
      <c r="H64" s="5"/>
      <c r="I64" s="6"/>
      <c r="J64" s="56"/>
      <c r="K64" s="56"/>
      <c r="L64" s="7"/>
    </row>
    <row r="65" spans="1:18">
      <c r="A65" s="52"/>
      <c r="B65" s="53"/>
      <c r="C65" s="54"/>
      <c r="D65" s="55"/>
      <c r="E65" s="5"/>
      <c r="F65" s="8"/>
      <c r="G65" s="5"/>
      <c r="H65" s="5"/>
      <c r="I65" s="6"/>
      <c r="J65" s="56"/>
      <c r="K65" s="56"/>
      <c r="L65" s="7"/>
    </row>
    <row r="66" spans="1:18">
      <c r="A66" s="57"/>
      <c r="B66" s="58"/>
      <c r="C66" s="59"/>
      <c r="D66" s="59"/>
      <c r="E66" s="5"/>
      <c r="F66" s="60"/>
      <c r="G66" s="61"/>
      <c r="H66" s="62"/>
      <c r="I66" s="45"/>
      <c r="J66" s="63"/>
      <c r="K66" s="63"/>
      <c r="L66" s="64"/>
    </row>
    <row r="67" spans="1:18">
      <c r="A67" s="65"/>
      <c r="B67" s="66"/>
      <c r="C67" s="59"/>
      <c r="D67" s="59"/>
      <c r="E67" s="5"/>
      <c r="F67" s="45"/>
      <c r="G67" s="45"/>
      <c r="H67" s="45"/>
      <c r="I67" s="45"/>
      <c r="J67" s="67"/>
      <c r="K67" s="67"/>
      <c r="L67" s="68"/>
    </row>
    <row r="68" spans="1:18">
      <c r="A68" s="65"/>
      <c r="B68" s="66"/>
      <c r="C68" s="59"/>
      <c r="D68" s="59"/>
      <c r="E68" s="5"/>
      <c r="F68" s="45"/>
      <c r="G68" s="45"/>
      <c r="H68" s="45"/>
      <c r="I68" s="45"/>
      <c r="J68" s="67"/>
      <c r="K68" s="67"/>
      <c r="L68" s="68"/>
    </row>
    <row r="69" spans="1:18" ht="15.75" customHeight="1">
      <c r="A69" s="46" t="s">
        <v>35</v>
      </c>
      <c r="B69" s="47"/>
      <c r="C69" s="69"/>
      <c r="D69" s="42"/>
      <c r="E69" s="70">
        <f>E68+D69</f>
        <v>0</v>
      </c>
      <c r="F69" s="71"/>
      <c r="G69" s="71"/>
      <c r="H69" s="71"/>
      <c r="I69" s="71"/>
      <c r="J69" s="44"/>
      <c r="K69" s="44"/>
      <c r="L69" s="42"/>
      <c r="O69" s="40"/>
    </row>
    <row r="70" spans="1:18" ht="18" customHeight="1">
      <c r="A70" s="1" t="s">
        <v>16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O70" s="72"/>
      <c r="P70" s="72"/>
    </row>
    <row r="71" spans="1:18" ht="12.75" customHeight="1">
      <c r="A71" s="2" t="s">
        <v>38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N71" s="73"/>
      <c r="O71" s="74"/>
      <c r="P71" s="75"/>
      <c r="Q71" s="73"/>
      <c r="R71" s="73"/>
    </row>
    <row r="72" spans="1:18" ht="16.5" customHeight="1">
      <c r="A72" s="4" t="s">
        <v>2</v>
      </c>
      <c r="B72" s="5" t="s">
        <v>3</v>
      </c>
      <c r="C72" s="6" t="s">
        <v>4</v>
      </c>
      <c r="D72" s="7" t="s">
        <v>5</v>
      </c>
      <c r="E72" s="5" t="s">
        <v>6</v>
      </c>
      <c r="F72" s="8" t="s">
        <v>7</v>
      </c>
      <c r="G72" s="76" t="s">
        <v>8</v>
      </c>
      <c r="H72" s="77"/>
      <c r="I72" s="6" t="s">
        <v>9</v>
      </c>
      <c r="J72" s="5" t="s">
        <v>10</v>
      </c>
      <c r="K72" s="5" t="s">
        <v>11</v>
      </c>
      <c r="L72" s="7" t="s">
        <v>12</v>
      </c>
      <c r="M72" s="78"/>
      <c r="N72" s="79"/>
      <c r="O72" s="50"/>
      <c r="P72" s="50"/>
      <c r="Q72" s="80"/>
      <c r="R72" s="81"/>
    </row>
    <row r="73" spans="1:18" ht="20.25" customHeight="1">
      <c r="A73" s="42" t="s">
        <v>18</v>
      </c>
      <c r="B73" s="43" t="s">
        <v>39</v>
      </c>
      <c r="C73" s="69">
        <v>1741056</v>
      </c>
      <c r="D73" s="69">
        <v>173.14</v>
      </c>
      <c r="E73" s="71">
        <v>173.14</v>
      </c>
      <c r="F73" s="71"/>
      <c r="G73" s="71"/>
      <c r="H73" s="71"/>
      <c r="I73" s="71"/>
      <c r="J73" s="44">
        <v>45603</v>
      </c>
      <c r="K73" s="44">
        <v>45613</v>
      </c>
      <c r="L73" s="42" t="s">
        <v>15</v>
      </c>
      <c r="M73" s="82"/>
      <c r="N73" s="79"/>
      <c r="O73" s="50"/>
      <c r="P73" s="50"/>
      <c r="Q73" s="80"/>
      <c r="R73" s="81"/>
    </row>
    <row r="74" spans="1:18" ht="20.25" customHeight="1">
      <c r="A74" s="42" t="s">
        <v>40</v>
      </c>
      <c r="B74" s="43" t="s">
        <v>39</v>
      </c>
      <c r="C74" s="69">
        <v>1741303</v>
      </c>
      <c r="D74" s="69">
        <v>193.48</v>
      </c>
      <c r="E74" s="71">
        <f t="shared" ref="E74:E81" si="2">E73+D74</f>
        <v>366.62</v>
      </c>
      <c r="F74" s="71"/>
      <c r="G74" s="71"/>
      <c r="H74" s="71"/>
      <c r="I74" s="71"/>
      <c r="J74" s="44">
        <v>45607</v>
      </c>
      <c r="K74" s="44">
        <v>45617</v>
      </c>
      <c r="L74" s="42" t="s">
        <v>15</v>
      </c>
      <c r="M74" s="83"/>
      <c r="O74" s="40"/>
    </row>
    <row r="75" spans="1:18">
      <c r="A75" s="84" t="s">
        <v>18</v>
      </c>
      <c r="B75" s="85" t="s">
        <v>41</v>
      </c>
      <c r="C75" s="69">
        <v>1741514</v>
      </c>
      <c r="D75" s="69">
        <v>53.88</v>
      </c>
      <c r="E75" s="71">
        <f t="shared" si="2"/>
        <v>420.5</v>
      </c>
      <c r="F75" s="71"/>
      <c r="G75" s="71"/>
      <c r="H75" s="71"/>
      <c r="I75" s="71"/>
      <c r="J75" s="86" t="s">
        <v>42</v>
      </c>
      <c r="K75" s="86">
        <v>45619</v>
      </c>
      <c r="L75" s="84" t="s">
        <v>15</v>
      </c>
      <c r="M75" s="87"/>
      <c r="N75" s="88"/>
      <c r="O75" s="89"/>
    </row>
    <row r="76" spans="1:18" ht="18.75" customHeight="1">
      <c r="A76" s="90"/>
      <c r="B76" s="91"/>
      <c r="C76" s="69">
        <v>1741513</v>
      </c>
      <c r="D76" s="69">
        <v>65.34</v>
      </c>
      <c r="E76" s="71">
        <f t="shared" si="2"/>
        <v>485.84000000000003</v>
      </c>
      <c r="F76" s="71"/>
      <c r="G76" s="71"/>
      <c r="H76" s="71"/>
      <c r="I76" s="71"/>
      <c r="J76" s="92"/>
      <c r="K76" s="92"/>
      <c r="L76" s="90"/>
      <c r="M76" s="83"/>
    </row>
    <row r="77" spans="1:18" ht="15" customHeight="1">
      <c r="A77" s="93" t="s">
        <v>43</v>
      </c>
      <c r="B77" s="94" t="s">
        <v>44</v>
      </c>
      <c r="C77" s="69">
        <v>1747040</v>
      </c>
      <c r="D77" s="69">
        <v>47.9</v>
      </c>
      <c r="E77" s="71">
        <f t="shared" si="2"/>
        <v>533.74</v>
      </c>
      <c r="F77" s="33" t="s">
        <v>45</v>
      </c>
      <c r="G77" s="95"/>
      <c r="H77" s="34"/>
      <c r="I77" s="71" t="s">
        <v>46</v>
      </c>
      <c r="J77" s="44">
        <v>45657</v>
      </c>
      <c r="K77" s="44">
        <v>45301</v>
      </c>
      <c r="L77" s="42" t="s">
        <v>15</v>
      </c>
    </row>
    <row r="78" spans="1:18">
      <c r="A78" s="96"/>
      <c r="B78" s="97"/>
      <c r="C78" s="69"/>
      <c r="D78" s="69"/>
      <c r="E78" s="71">
        <f t="shared" si="2"/>
        <v>533.74</v>
      </c>
      <c r="F78" s="71"/>
      <c r="G78" s="71"/>
      <c r="H78" s="71"/>
      <c r="I78" s="71"/>
      <c r="J78" s="44"/>
      <c r="K78" s="44"/>
      <c r="L78" s="42"/>
    </row>
    <row r="79" spans="1:18">
      <c r="A79" s="98"/>
      <c r="B79" s="99"/>
      <c r="C79" s="69"/>
      <c r="D79" s="69"/>
      <c r="E79" s="71">
        <f t="shared" si="2"/>
        <v>533.74</v>
      </c>
      <c r="F79" s="71"/>
      <c r="G79" s="71"/>
      <c r="H79" s="71"/>
      <c r="I79" s="71"/>
      <c r="J79" s="44"/>
      <c r="K79" s="44"/>
      <c r="L79" s="42"/>
    </row>
    <row r="80" spans="1:18" ht="16.5" customHeight="1">
      <c r="A80" s="42"/>
      <c r="B80" s="43"/>
      <c r="C80" s="69"/>
      <c r="D80" s="69"/>
      <c r="E80" s="71">
        <f t="shared" si="2"/>
        <v>533.74</v>
      </c>
      <c r="F80" s="71"/>
      <c r="G80" s="71"/>
      <c r="H80" s="71"/>
      <c r="I80" s="71"/>
      <c r="J80" s="44"/>
      <c r="K80" s="44"/>
      <c r="L80" s="42"/>
      <c r="N80" t="s">
        <v>47</v>
      </c>
    </row>
    <row r="81" spans="1:12" ht="15" customHeight="1">
      <c r="A81" s="46" t="s">
        <v>35</v>
      </c>
      <c r="B81" s="47"/>
      <c r="C81" s="69"/>
      <c r="D81" s="69"/>
      <c r="E81" s="100">
        <f t="shared" si="2"/>
        <v>533.74</v>
      </c>
      <c r="F81" s="71"/>
      <c r="G81" s="71"/>
      <c r="H81" s="71"/>
      <c r="I81" s="71"/>
      <c r="J81" s="44"/>
      <c r="K81" s="44"/>
      <c r="L81" s="42"/>
    </row>
    <row r="82" spans="1:12">
      <c r="A82" s="1" t="s">
        <v>48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2" t="s">
        <v>49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36.75">
      <c r="A84" s="4" t="s">
        <v>2</v>
      </c>
      <c r="B84" s="5" t="s">
        <v>3</v>
      </c>
      <c r="C84" s="6" t="s">
        <v>4</v>
      </c>
      <c r="D84" s="7" t="s">
        <v>5</v>
      </c>
      <c r="E84" s="5" t="s">
        <v>6</v>
      </c>
      <c r="F84" s="8" t="s">
        <v>7</v>
      </c>
      <c r="G84" s="76" t="s">
        <v>8</v>
      </c>
      <c r="H84" s="77"/>
      <c r="I84" s="6" t="s">
        <v>9</v>
      </c>
      <c r="J84" s="5" t="s">
        <v>10</v>
      </c>
      <c r="K84" s="5" t="s">
        <v>11</v>
      </c>
      <c r="L84" s="7" t="s">
        <v>12</v>
      </c>
    </row>
    <row r="85" spans="1:12">
      <c r="A85" s="42" t="s">
        <v>18</v>
      </c>
      <c r="B85" s="43" t="s">
        <v>50</v>
      </c>
      <c r="C85" s="42">
        <v>1734386</v>
      </c>
      <c r="D85" s="42">
        <v>104.8</v>
      </c>
      <c r="E85" s="12">
        <v>104.8</v>
      </c>
      <c r="F85" s="12"/>
      <c r="G85" s="12"/>
      <c r="H85" s="12"/>
      <c r="I85" s="45"/>
      <c r="J85" s="101">
        <v>45510</v>
      </c>
      <c r="K85" s="44">
        <v>45520</v>
      </c>
      <c r="L85" s="84" t="s">
        <v>15</v>
      </c>
    </row>
    <row r="86" spans="1:12" ht="16.5" customHeight="1">
      <c r="A86" s="42" t="s">
        <v>25</v>
      </c>
      <c r="B86" s="43" t="s">
        <v>51</v>
      </c>
      <c r="C86" s="42">
        <v>1735400</v>
      </c>
      <c r="D86" s="42">
        <v>152.07</v>
      </c>
      <c r="E86" s="12">
        <f>E85+D86</f>
        <v>256.87</v>
      </c>
      <c r="F86" s="12"/>
      <c r="G86" s="12"/>
      <c r="H86" s="12"/>
      <c r="I86" s="12"/>
      <c r="J86" s="101">
        <v>45520</v>
      </c>
      <c r="K86" s="44">
        <v>41877</v>
      </c>
      <c r="L86" s="102"/>
    </row>
    <row r="87" spans="1:12">
      <c r="A87" s="42" t="s">
        <v>25</v>
      </c>
      <c r="B87" s="43" t="s">
        <v>52</v>
      </c>
      <c r="C87" s="42">
        <v>1735708</v>
      </c>
      <c r="D87" s="42">
        <v>65.349999999999994</v>
      </c>
      <c r="E87" s="12">
        <f t="shared" ref="E87:E112" si="3">E86+D87</f>
        <v>322.22000000000003</v>
      </c>
      <c r="F87" s="12"/>
      <c r="G87" s="12"/>
      <c r="H87" s="12"/>
      <c r="I87" s="12"/>
      <c r="J87" s="44">
        <v>45525</v>
      </c>
      <c r="K87" s="44">
        <v>45535</v>
      </c>
      <c r="L87" s="102"/>
    </row>
    <row r="88" spans="1:12" ht="16.5" customHeight="1">
      <c r="A88" s="28" t="s">
        <v>18</v>
      </c>
      <c r="B88" s="29" t="s">
        <v>53</v>
      </c>
      <c r="C88" s="12">
        <v>1735858</v>
      </c>
      <c r="D88" s="12">
        <v>43.13</v>
      </c>
      <c r="E88" s="12">
        <f t="shared" si="3"/>
        <v>365.35</v>
      </c>
      <c r="F88" s="13"/>
      <c r="G88" s="13"/>
      <c r="H88" s="13"/>
      <c r="I88" s="13"/>
      <c r="J88" s="30">
        <v>45527</v>
      </c>
      <c r="K88" s="30">
        <v>45537</v>
      </c>
      <c r="L88" s="102"/>
    </row>
    <row r="89" spans="1:12">
      <c r="A89" s="31"/>
      <c r="B89" s="32"/>
      <c r="C89" s="12">
        <v>1735859</v>
      </c>
      <c r="D89" s="12">
        <v>55.93</v>
      </c>
      <c r="E89" s="12">
        <f t="shared" si="3"/>
        <v>421.28000000000003</v>
      </c>
      <c r="F89" s="13"/>
      <c r="G89" s="13"/>
      <c r="H89" s="13"/>
      <c r="I89" s="13"/>
      <c r="J89" s="35"/>
      <c r="K89" s="35"/>
      <c r="L89" s="90"/>
    </row>
    <row r="90" spans="1:12" ht="18" customHeight="1">
      <c r="A90" s="28" t="s">
        <v>18</v>
      </c>
      <c r="B90" s="29" t="s">
        <v>54</v>
      </c>
      <c r="C90" s="12">
        <v>1739239</v>
      </c>
      <c r="D90" s="12">
        <v>34.47</v>
      </c>
      <c r="E90" s="12">
        <f t="shared" si="3"/>
        <v>455.75</v>
      </c>
      <c r="F90" s="13"/>
      <c r="G90" s="13"/>
      <c r="H90" s="13"/>
      <c r="I90" s="13"/>
      <c r="J90" s="30">
        <v>45581</v>
      </c>
      <c r="K90" s="30">
        <v>45591</v>
      </c>
      <c r="L90" s="103" t="s">
        <v>15</v>
      </c>
    </row>
    <row r="91" spans="1:12">
      <c r="A91" s="31"/>
      <c r="B91" s="32"/>
      <c r="C91" s="12">
        <v>1739238</v>
      </c>
      <c r="D91" s="12">
        <v>39.85</v>
      </c>
      <c r="E91" s="12">
        <f t="shared" si="3"/>
        <v>495.6</v>
      </c>
      <c r="F91" s="13"/>
      <c r="G91" s="13"/>
      <c r="H91" s="13"/>
      <c r="I91" s="13"/>
      <c r="J91" s="35"/>
      <c r="K91" s="35"/>
      <c r="L91" s="104"/>
    </row>
    <row r="92" spans="1:12">
      <c r="A92" s="10" t="s">
        <v>18</v>
      </c>
      <c r="B92" s="11" t="s">
        <v>55</v>
      </c>
      <c r="C92" s="12">
        <v>1739545</v>
      </c>
      <c r="D92" s="12">
        <v>240.29</v>
      </c>
      <c r="E92" s="12">
        <f t="shared" si="3"/>
        <v>735.89</v>
      </c>
      <c r="F92" s="13"/>
      <c r="G92" s="12"/>
      <c r="H92" s="13"/>
      <c r="I92" s="13"/>
      <c r="J92" s="14">
        <v>45586</v>
      </c>
      <c r="K92" s="14">
        <v>45596</v>
      </c>
      <c r="L92" s="10" t="s">
        <v>15</v>
      </c>
    </row>
    <row r="93" spans="1:12">
      <c r="A93" s="28" t="s">
        <v>18</v>
      </c>
      <c r="B93" s="29" t="s">
        <v>21</v>
      </c>
      <c r="C93" s="12">
        <v>1740028</v>
      </c>
      <c r="D93" s="12">
        <v>100.22</v>
      </c>
      <c r="E93" s="12">
        <f t="shared" si="3"/>
        <v>836.11</v>
      </c>
      <c r="F93" s="13"/>
      <c r="G93" s="13"/>
      <c r="H93" s="13"/>
      <c r="I93" s="13"/>
      <c r="J93" s="30">
        <v>45589</v>
      </c>
      <c r="K93" s="30">
        <v>45599</v>
      </c>
      <c r="L93" s="28" t="s">
        <v>15</v>
      </c>
    </row>
    <row r="94" spans="1:12">
      <c r="A94" s="31"/>
      <c r="B94" s="32"/>
      <c r="C94" s="12">
        <v>1740029</v>
      </c>
      <c r="D94" s="12">
        <v>200.44</v>
      </c>
      <c r="E94" s="12">
        <f t="shared" si="3"/>
        <v>1036.55</v>
      </c>
      <c r="F94" s="13"/>
      <c r="G94" s="12"/>
      <c r="H94" s="13"/>
      <c r="I94" s="13"/>
      <c r="J94" s="35"/>
      <c r="K94" s="35"/>
      <c r="L94" s="31"/>
    </row>
    <row r="95" spans="1:12">
      <c r="A95" s="10" t="s">
        <v>22</v>
      </c>
      <c r="B95" s="11" t="s">
        <v>56</v>
      </c>
      <c r="C95" s="12">
        <v>1740245</v>
      </c>
      <c r="D95" s="12">
        <v>99.83</v>
      </c>
      <c r="E95" s="12">
        <f t="shared" si="3"/>
        <v>1136.3799999999999</v>
      </c>
      <c r="F95" s="13"/>
      <c r="G95" s="13"/>
      <c r="H95" s="13"/>
      <c r="I95" s="13"/>
      <c r="J95" s="27">
        <v>45593</v>
      </c>
      <c r="K95" s="27">
        <v>45603</v>
      </c>
      <c r="L95" s="13" t="s">
        <v>15</v>
      </c>
    </row>
    <row r="96" spans="1:12">
      <c r="A96" s="28" t="s">
        <v>22</v>
      </c>
      <c r="B96" s="29" t="s">
        <v>57</v>
      </c>
      <c r="C96" s="12">
        <v>1740822</v>
      </c>
      <c r="D96" s="12">
        <v>107</v>
      </c>
      <c r="E96" s="12">
        <f t="shared" si="3"/>
        <v>1243.3799999999999</v>
      </c>
      <c r="F96" s="13"/>
      <c r="G96" s="13"/>
      <c r="H96" s="13"/>
      <c r="I96" s="13"/>
      <c r="J96" s="30">
        <v>45601</v>
      </c>
      <c r="K96" s="30">
        <v>45611</v>
      </c>
      <c r="L96" s="28" t="s">
        <v>15</v>
      </c>
    </row>
    <row r="97" spans="1:18">
      <c r="A97" s="31"/>
      <c r="B97" s="32"/>
      <c r="C97" s="12">
        <v>1740826</v>
      </c>
      <c r="D97" s="12">
        <v>71.33</v>
      </c>
      <c r="E97" s="12">
        <f t="shared" si="3"/>
        <v>1314.7099999999998</v>
      </c>
      <c r="F97" s="13"/>
      <c r="G97" s="13"/>
      <c r="H97" s="13"/>
      <c r="I97" s="13"/>
      <c r="J97" s="35"/>
      <c r="K97" s="35"/>
      <c r="L97" s="31"/>
    </row>
    <row r="98" spans="1:18">
      <c r="A98" s="15" t="s">
        <v>22</v>
      </c>
      <c r="B98" s="16" t="s">
        <v>58</v>
      </c>
      <c r="C98" s="12">
        <v>1741063</v>
      </c>
      <c r="D98" s="12">
        <v>49.91</v>
      </c>
      <c r="E98" s="12">
        <f t="shared" si="3"/>
        <v>1364.62</v>
      </c>
      <c r="F98" s="13"/>
      <c r="G98" s="13"/>
      <c r="H98" s="13"/>
      <c r="I98" s="13"/>
      <c r="J98" s="17">
        <v>45603</v>
      </c>
      <c r="K98" s="17">
        <v>45613</v>
      </c>
      <c r="L98" s="15" t="s">
        <v>15</v>
      </c>
      <c r="N98" s="105"/>
      <c r="O98" s="106"/>
      <c r="P98" s="106"/>
      <c r="Q98" s="105"/>
      <c r="R98" s="105"/>
    </row>
    <row r="99" spans="1:18">
      <c r="A99" s="42" t="s">
        <v>22</v>
      </c>
      <c r="B99" s="43" t="s">
        <v>14</v>
      </c>
      <c r="C99" s="12">
        <v>1741645</v>
      </c>
      <c r="D99" s="12">
        <v>92.26</v>
      </c>
      <c r="E99" s="12">
        <f t="shared" si="3"/>
        <v>1456.8799999999999</v>
      </c>
      <c r="F99" s="13"/>
      <c r="G99" s="13"/>
      <c r="H99" s="13"/>
      <c r="I99" s="13"/>
      <c r="J99" s="17">
        <v>45610</v>
      </c>
      <c r="K99" s="17">
        <v>45620</v>
      </c>
      <c r="L99" s="15" t="s">
        <v>15</v>
      </c>
      <c r="N99" s="107"/>
      <c r="O99" s="108"/>
      <c r="P99" s="109"/>
      <c r="Q99" s="107"/>
      <c r="R99" s="107"/>
    </row>
    <row r="100" spans="1:18">
      <c r="A100" s="28" t="s">
        <v>22</v>
      </c>
      <c r="B100" s="29" t="s">
        <v>59</v>
      </c>
      <c r="C100" s="12">
        <v>1742237</v>
      </c>
      <c r="D100" s="12">
        <v>74.91</v>
      </c>
      <c r="E100" s="12">
        <f t="shared" si="3"/>
        <v>1531.79</v>
      </c>
      <c r="F100" s="13"/>
      <c r="G100" s="13"/>
      <c r="H100" s="13"/>
      <c r="I100" s="13"/>
      <c r="J100" s="30">
        <v>45616</v>
      </c>
      <c r="K100" s="30">
        <v>45626</v>
      </c>
      <c r="L100" s="28" t="s">
        <v>15</v>
      </c>
      <c r="N100" s="110"/>
      <c r="O100" s="111"/>
      <c r="P100" s="112"/>
      <c r="Q100" s="113"/>
      <c r="R100" s="113"/>
    </row>
    <row r="101" spans="1:18">
      <c r="A101" s="31"/>
      <c r="B101" s="32"/>
      <c r="C101" s="12">
        <v>1742239</v>
      </c>
      <c r="D101" s="12">
        <v>122.49</v>
      </c>
      <c r="E101" s="12">
        <f t="shared" si="3"/>
        <v>1654.28</v>
      </c>
      <c r="F101" s="13"/>
      <c r="G101" s="13"/>
      <c r="H101" s="13"/>
      <c r="I101" s="12"/>
      <c r="J101" s="35"/>
      <c r="K101" s="35"/>
      <c r="L101" s="31"/>
      <c r="N101" s="110"/>
      <c r="O101" s="111"/>
      <c r="P101" s="112"/>
      <c r="Q101" s="113"/>
      <c r="R101" s="113"/>
    </row>
    <row r="102" spans="1:18">
      <c r="A102" s="28" t="s">
        <v>22</v>
      </c>
      <c r="B102" s="29" t="s">
        <v>60</v>
      </c>
      <c r="C102" s="12">
        <v>1743869</v>
      </c>
      <c r="D102" s="12">
        <v>100.01</v>
      </c>
      <c r="E102" s="12">
        <f t="shared" si="3"/>
        <v>1754.29</v>
      </c>
      <c r="F102" s="13"/>
      <c r="G102" s="13"/>
      <c r="H102" s="13"/>
      <c r="I102" s="13"/>
      <c r="J102" s="30">
        <v>45629</v>
      </c>
      <c r="K102" s="30">
        <v>45639</v>
      </c>
      <c r="L102" s="28" t="s">
        <v>15</v>
      </c>
      <c r="N102" s="110"/>
      <c r="O102" s="111"/>
      <c r="P102" s="112"/>
      <c r="Q102" s="113"/>
      <c r="R102" s="113"/>
    </row>
    <row r="103" spans="1:18">
      <c r="A103" s="37"/>
      <c r="B103" s="38"/>
      <c r="C103" s="12">
        <v>1743870</v>
      </c>
      <c r="D103" s="12">
        <v>99.82</v>
      </c>
      <c r="E103" s="12">
        <f t="shared" si="3"/>
        <v>1854.11</v>
      </c>
      <c r="F103" s="13"/>
      <c r="G103" s="13"/>
      <c r="H103" s="13"/>
      <c r="I103" s="13"/>
      <c r="J103" s="39"/>
      <c r="K103" s="39"/>
      <c r="L103" s="37"/>
      <c r="N103" s="110"/>
      <c r="O103" s="111"/>
      <c r="P103" s="112"/>
      <c r="Q103" s="113"/>
      <c r="R103" s="113"/>
    </row>
    <row r="104" spans="1:18">
      <c r="A104" s="31"/>
      <c r="B104" s="38"/>
      <c r="C104" s="12">
        <v>1743871</v>
      </c>
      <c r="D104" s="12">
        <v>49.91</v>
      </c>
      <c r="E104" s="12">
        <f t="shared" si="3"/>
        <v>1904.02</v>
      </c>
      <c r="F104" s="13"/>
      <c r="G104" s="13"/>
      <c r="H104" s="13"/>
      <c r="I104" s="13"/>
      <c r="J104" s="39"/>
      <c r="K104" s="39"/>
      <c r="L104" s="37"/>
      <c r="M104" s="40"/>
      <c r="N104" s="110"/>
      <c r="O104" s="111"/>
      <c r="P104" s="112"/>
      <c r="Q104" s="113"/>
      <c r="R104" s="113"/>
    </row>
    <row r="105" spans="1:18">
      <c r="A105" s="15" t="s">
        <v>18</v>
      </c>
      <c r="B105" s="32"/>
      <c r="C105" s="12">
        <v>1743872</v>
      </c>
      <c r="D105" s="12">
        <v>201.84</v>
      </c>
      <c r="E105" s="12">
        <f t="shared" si="3"/>
        <v>2105.86</v>
      </c>
      <c r="F105" s="13"/>
      <c r="G105" s="13"/>
      <c r="H105" s="13"/>
      <c r="I105" s="13"/>
      <c r="J105" s="35"/>
      <c r="K105" s="35"/>
      <c r="L105" s="31"/>
      <c r="N105" s="110"/>
      <c r="O105" s="111"/>
      <c r="P105" s="112"/>
      <c r="Q105" s="113"/>
      <c r="R105" s="113"/>
    </row>
    <row r="106" spans="1:18">
      <c r="A106" s="28" t="s">
        <v>25</v>
      </c>
      <c r="B106" s="29" t="s">
        <v>61</v>
      </c>
      <c r="C106" s="12">
        <v>1745845</v>
      </c>
      <c r="D106" s="12">
        <v>8.83</v>
      </c>
      <c r="E106" s="12">
        <f t="shared" si="3"/>
        <v>2114.69</v>
      </c>
      <c r="F106" s="13"/>
      <c r="G106" s="13"/>
      <c r="H106" s="13"/>
      <c r="I106" s="13"/>
      <c r="J106" s="30">
        <v>45646</v>
      </c>
      <c r="K106" s="30">
        <v>45656</v>
      </c>
      <c r="L106" s="28" t="s">
        <v>15</v>
      </c>
      <c r="M106" s="40"/>
      <c r="N106" s="110"/>
      <c r="O106" s="111"/>
      <c r="P106" s="112"/>
      <c r="Q106" s="113"/>
      <c r="R106" s="113"/>
    </row>
    <row r="107" spans="1:18">
      <c r="A107" s="31"/>
      <c r="B107" s="32"/>
      <c r="C107" s="12">
        <v>1745846</v>
      </c>
      <c r="D107" s="12">
        <v>56.39</v>
      </c>
      <c r="E107" s="12">
        <f t="shared" si="3"/>
        <v>2171.08</v>
      </c>
      <c r="F107" s="13"/>
      <c r="G107" s="13"/>
      <c r="H107" s="13"/>
      <c r="I107" s="13"/>
      <c r="J107" s="35"/>
      <c r="K107" s="35"/>
      <c r="L107" s="31"/>
    </row>
    <row r="108" spans="1:18">
      <c r="A108" s="15" t="s">
        <v>22</v>
      </c>
      <c r="B108" s="16" t="s">
        <v>62</v>
      </c>
      <c r="C108" s="12">
        <v>1746414</v>
      </c>
      <c r="D108" s="12">
        <v>42.62</v>
      </c>
      <c r="E108" s="12">
        <f t="shared" si="3"/>
        <v>2213.6999999999998</v>
      </c>
      <c r="F108" s="13"/>
      <c r="G108" s="13"/>
      <c r="H108" s="13"/>
      <c r="I108" s="13"/>
      <c r="J108" s="17">
        <v>45651</v>
      </c>
      <c r="K108" s="17">
        <v>45661</v>
      </c>
      <c r="L108" s="15" t="s">
        <v>15</v>
      </c>
      <c r="M108" s="40"/>
    </row>
    <row r="109" spans="1:18">
      <c r="A109" s="28" t="s">
        <v>22</v>
      </c>
      <c r="B109" s="29" t="s">
        <v>63</v>
      </c>
      <c r="C109" s="23">
        <v>1752535</v>
      </c>
      <c r="D109" s="23">
        <v>21.95</v>
      </c>
      <c r="E109" s="12">
        <f t="shared" si="3"/>
        <v>2235.6499999999996</v>
      </c>
      <c r="F109" s="13"/>
      <c r="G109" s="13"/>
      <c r="H109" s="13"/>
      <c r="I109" s="13"/>
      <c r="J109" s="30">
        <v>45727</v>
      </c>
      <c r="K109" s="30">
        <v>45732</v>
      </c>
      <c r="L109" s="28" t="s">
        <v>64</v>
      </c>
      <c r="M109" s="40"/>
    </row>
    <row r="110" spans="1:18">
      <c r="A110" s="31"/>
      <c r="B110" s="32"/>
      <c r="C110" s="23">
        <v>1752536</v>
      </c>
      <c r="D110" s="23">
        <v>0.03</v>
      </c>
      <c r="E110" s="12">
        <f t="shared" si="3"/>
        <v>2235.6799999999998</v>
      </c>
      <c r="F110" s="13"/>
      <c r="G110" s="13"/>
      <c r="H110" s="13"/>
      <c r="I110" s="13"/>
      <c r="J110" s="35"/>
      <c r="K110" s="35"/>
      <c r="L110" s="31"/>
    </row>
    <row r="111" spans="1:18">
      <c r="A111" s="10"/>
      <c r="B111" s="11"/>
      <c r="C111" s="13"/>
      <c r="D111" s="13"/>
      <c r="E111" s="12">
        <f t="shared" si="3"/>
        <v>2235.6799999999998</v>
      </c>
      <c r="F111" s="13"/>
      <c r="G111" s="13"/>
      <c r="H111" s="13"/>
      <c r="I111" s="13"/>
      <c r="J111" s="27"/>
      <c r="K111" s="27"/>
      <c r="L111" s="13"/>
    </row>
    <row r="112" spans="1:18">
      <c r="A112" s="69"/>
      <c r="B112" s="42" t="s">
        <v>35</v>
      </c>
      <c r="C112" s="42"/>
      <c r="D112" s="42"/>
      <c r="E112" s="23">
        <f t="shared" si="3"/>
        <v>2235.6799999999998</v>
      </c>
      <c r="F112" s="12"/>
      <c r="G112" s="12"/>
      <c r="H112" s="12"/>
      <c r="I112" s="12"/>
      <c r="J112" s="44"/>
      <c r="K112" s="44"/>
      <c r="L112" s="42"/>
    </row>
    <row r="113" spans="1:18">
      <c r="A113" s="48"/>
      <c r="B113" s="49"/>
      <c r="C113" s="50"/>
      <c r="D113" s="50"/>
      <c r="E113" s="41"/>
      <c r="F113" s="41"/>
      <c r="G113" s="41"/>
      <c r="H113" s="41"/>
      <c r="I113" s="41"/>
      <c r="J113" s="51"/>
      <c r="K113" s="51"/>
      <c r="L113" s="48"/>
    </row>
    <row r="114" spans="1:18">
      <c r="A114" s="1" t="s">
        <v>65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N114" s="105"/>
      <c r="O114" s="106"/>
      <c r="P114" s="106"/>
      <c r="Q114" s="105"/>
      <c r="R114" s="105"/>
    </row>
    <row r="115" spans="1:18">
      <c r="A115" s="2" t="s">
        <v>66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N115" s="107"/>
      <c r="O115" s="108"/>
      <c r="P115" s="109"/>
      <c r="Q115" s="107"/>
      <c r="R115" s="107"/>
    </row>
    <row r="116" spans="1:18" ht="36.75">
      <c r="A116" s="4" t="s">
        <v>2</v>
      </c>
      <c r="B116" s="5" t="s">
        <v>3</v>
      </c>
      <c r="C116" s="6" t="s">
        <v>4</v>
      </c>
      <c r="D116" s="24" t="s">
        <v>5</v>
      </c>
      <c r="E116" s="5" t="s">
        <v>6</v>
      </c>
      <c r="F116" s="8" t="s">
        <v>7</v>
      </c>
      <c r="G116" s="9" t="s">
        <v>8</v>
      </c>
      <c r="H116" s="9"/>
      <c r="I116" s="6" t="s">
        <v>9</v>
      </c>
      <c r="J116" s="5" t="s">
        <v>10</v>
      </c>
      <c r="K116" s="5" t="s">
        <v>11</v>
      </c>
      <c r="L116" s="24" t="s">
        <v>12</v>
      </c>
      <c r="N116" s="114"/>
      <c r="O116" s="50"/>
      <c r="P116" s="50"/>
      <c r="Q116" s="115"/>
      <c r="R116" s="115"/>
    </row>
    <row r="117" spans="1:18">
      <c r="A117" s="84" t="s">
        <v>67</v>
      </c>
      <c r="B117" s="85" t="s">
        <v>68</v>
      </c>
      <c r="C117" s="42">
        <v>1740955</v>
      </c>
      <c r="D117" s="42">
        <v>49.91</v>
      </c>
      <c r="E117" s="42">
        <v>49.91</v>
      </c>
      <c r="F117" s="12"/>
      <c r="G117" s="12"/>
      <c r="H117" s="12"/>
      <c r="I117" s="12"/>
      <c r="J117" s="86">
        <v>45602</v>
      </c>
      <c r="K117" s="86">
        <v>45612</v>
      </c>
      <c r="L117" s="116" t="s">
        <v>15</v>
      </c>
      <c r="N117" s="114"/>
      <c r="O117" s="50"/>
      <c r="P117" s="50"/>
      <c r="Q117" s="115"/>
      <c r="R117" s="115"/>
    </row>
    <row r="118" spans="1:18" ht="17.25" customHeight="1">
      <c r="A118" s="102"/>
      <c r="B118" s="117"/>
      <c r="C118" s="42">
        <v>1740956</v>
      </c>
      <c r="D118" s="42">
        <v>103.21</v>
      </c>
      <c r="E118" s="42">
        <f>E117+D118</f>
        <v>153.12</v>
      </c>
      <c r="F118" s="12"/>
      <c r="G118" s="12"/>
      <c r="H118" s="12"/>
      <c r="I118" s="12"/>
      <c r="J118" s="118"/>
      <c r="K118" s="118"/>
      <c r="L118" s="119"/>
      <c r="N118" s="120"/>
      <c r="O118" s="50"/>
      <c r="P118" s="50"/>
      <c r="Q118" s="121"/>
      <c r="R118" s="121"/>
    </row>
    <row r="119" spans="1:18">
      <c r="A119" s="90"/>
      <c r="B119" s="91"/>
      <c r="C119" s="42">
        <v>1740957</v>
      </c>
      <c r="D119" s="42">
        <v>50.66</v>
      </c>
      <c r="E119" s="42">
        <f t="shared" ref="E119:E137" si="4">E118+D119</f>
        <v>203.78</v>
      </c>
      <c r="F119" s="12"/>
      <c r="G119" s="12"/>
      <c r="H119" s="12"/>
      <c r="I119" s="12"/>
      <c r="J119" s="92"/>
      <c r="K119" s="92"/>
      <c r="L119" s="122"/>
      <c r="N119" s="120"/>
      <c r="O119" s="50"/>
      <c r="P119" s="50"/>
      <c r="Q119" s="121"/>
      <c r="R119" s="121"/>
    </row>
    <row r="120" spans="1:18">
      <c r="A120" s="69" t="s">
        <v>69</v>
      </c>
      <c r="B120" s="43" t="s">
        <v>70</v>
      </c>
      <c r="C120" s="42">
        <v>1742112</v>
      </c>
      <c r="D120" s="42">
        <v>102.52</v>
      </c>
      <c r="E120" s="42">
        <f t="shared" si="4"/>
        <v>306.3</v>
      </c>
      <c r="F120" s="12"/>
      <c r="G120" s="12"/>
      <c r="H120" s="12"/>
      <c r="I120" s="12"/>
      <c r="J120" s="44">
        <v>45615</v>
      </c>
      <c r="K120" s="44">
        <v>45625</v>
      </c>
      <c r="L120" s="123" t="s">
        <v>15</v>
      </c>
      <c r="N120" s="120"/>
      <c r="O120" s="50"/>
      <c r="P120" s="50"/>
      <c r="Q120" s="121"/>
      <c r="R120" s="121"/>
    </row>
    <row r="121" spans="1:18">
      <c r="A121" s="84" t="s">
        <v>67</v>
      </c>
      <c r="B121" s="85" t="s">
        <v>71</v>
      </c>
      <c r="C121" s="42">
        <v>1743117</v>
      </c>
      <c r="D121" s="42">
        <v>9.6199999999999992</v>
      </c>
      <c r="E121" s="42">
        <f t="shared" si="4"/>
        <v>315.92</v>
      </c>
      <c r="F121" s="12"/>
      <c r="G121" s="12"/>
      <c r="H121" s="12"/>
      <c r="I121" s="12"/>
      <c r="J121" s="86">
        <v>45623</v>
      </c>
      <c r="K121" s="86">
        <v>45633</v>
      </c>
      <c r="L121" s="116" t="s">
        <v>15</v>
      </c>
    </row>
    <row r="122" spans="1:18">
      <c r="A122" s="102"/>
      <c r="B122" s="117"/>
      <c r="C122" s="42">
        <v>1743114</v>
      </c>
      <c r="D122" s="42">
        <v>101.41</v>
      </c>
      <c r="E122" s="42">
        <f t="shared" si="4"/>
        <v>417.33000000000004</v>
      </c>
      <c r="F122" s="12"/>
      <c r="G122" s="12"/>
      <c r="H122" s="12"/>
      <c r="I122" s="12"/>
      <c r="J122" s="118"/>
      <c r="K122" s="118"/>
      <c r="L122" s="119"/>
    </row>
    <row r="123" spans="1:18">
      <c r="A123" s="90"/>
      <c r="B123" s="91"/>
      <c r="C123" s="42">
        <v>1743116</v>
      </c>
      <c r="D123" s="42">
        <v>39.93</v>
      </c>
      <c r="E123" s="42">
        <f t="shared" si="4"/>
        <v>457.26000000000005</v>
      </c>
      <c r="F123" s="12"/>
      <c r="G123" s="12"/>
      <c r="H123" s="12"/>
      <c r="I123" s="12"/>
      <c r="J123" s="92"/>
      <c r="K123" s="92"/>
      <c r="L123" s="122"/>
    </row>
    <row r="124" spans="1:18">
      <c r="A124" s="84" t="s">
        <v>72</v>
      </c>
      <c r="B124" s="85" t="s">
        <v>73</v>
      </c>
      <c r="C124" s="42">
        <v>1744048</v>
      </c>
      <c r="D124" s="42">
        <v>101.94</v>
      </c>
      <c r="E124" s="42">
        <f t="shared" si="4"/>
        <v>559.20000000000005</v>
      </c>
      <c r="F124" s="12"/>
      <c r="G124" s="12"/>
      <c r="H124" s="12"/>
      <c r="I124" s="12"/>
      <c r="J124" s="86">
        <v>45630</v>
      </c>
      <c r="K124" s="86">
        <v>45640</v>
      </c>
      <c r="L124" s="116" t="s">
        <v>15</v>
      </c>
    </row>
    <row r="125" spans="1:18">
      <c r="A125" s="90"/>
      <c r="B125" s="91"/>
      <c r="C125" s="42">
        <v>1744054</v>
      </c>
      <c r="D125" s="42">
        <v>89.84</v>
      </c>
      <c r="E125" s="42">
        <f t="shared" si="4"/>
        <v>649.04000000000008</v>
      </c>
      <c r="F125" s="12"/>
      <c r="G125" s="12"/>
      <c r="H125" s="12"/>
      <c r="I125" s="12"/>
      <c r="J125" s="92"/>
      <c r="K125" s="92"/>
      <c r="L125" s="122"/>
    </row>
    <row r="126" spans="1:18">
      <c r="A126" s="124" t="s">
        <v>72</v>
      </c>
      <c r="B126" s="125" t="s">
        <v>74</v>
      </c>
      <c r="C126" s="59">
        <v>1745400</v>
      </c>
      <c r="D126" s="42">
        <v>241.03</v>
      </c>
      <c r="E126" s="42">
        <f t="shared" si="4"/>
        <v>890.07</v>
      </c>
      <c r="F126" s="12"/>
      <c r="G126" s="12"/>
      <c r="H126" s="12"/>
      <c r="I126" s="12"/>
      <c r="J126" s="126">
        <v>45643</v>
      </c>
      <c r="K126" s="126">
        <v>45653</v>
      </c>
      <c r="L126" s="127" t="s">
        <v>15</v>
      </c>
    </row>
    <row r="127" spans="1:18">
      <c r="A127" s="128" t="s">
        <v>72</v>
      </c>
      <c r="B127" s="43" t="s">
        <v>75</v>
      </c>
      <c r="C127" s="42">
        <v>1747133</v>
      </c>
      <c r="D127" s="42">
        <v>98.42</v>
      </c>
      <c r="E127" s="42">
        <f t="shared" si="4"/>
        <v>988.49</v>
      </c>
      <c r="F127" s="12"/>
      <c r="G127" s="12"/>
      <c r="H127" s="12"/>
      <c r="I127" s="12"/>
      <c r="J127" s="44">
        <v>45292</v>
      </c>
      <c r="K127" s="44">
        <v>45302</v>
      </c>
      <c r="L127" s="123" t="s">
        <v>15</v>
      </c>
    </row>
    <row r="128" spans="1:18">
      <c r="A128" s="84" t="s">
        <v>72</v>
      </c>
      <c r="B128" s="85" t="s">
        <v>26</v>
      </c>
      <c r="C128" s="129">
        <v>1747910</v>
      </c>
      <c r="D128" s="129">
        <v>12.98</v>
      </c>
      <c r="E128" s="42">
        <f t="shared" si="4"/>
        <v>1001.47</v>
      </c>
      <c r="F128" s="12"/>
      <c r="G128" s="12"/>
      <c r="H128" s="12"/>
      <c r="I128" s="12"/>
      <c r="J128" s="86">
        <v>45667</v>
      </c>
      <c r="K128" s="86">
        <v>45677</v>
      </c>
      <c r="L128" s="116" t="s">
        <v>76</v>
      </c>
    </row>
    <row r="129" spans="1:17">
      <c r="A129" s="102"/>
      <c r="B129" s="117"/>
      <c r="C129" s="129">
        <v>1747912</v>
      </c>
      <c r="D129" s="129">
        <v>50.46</v>
      </c>
      <c r="E129" s="42">
        <f t="shared" si="4"/>
        <v>1051.93</v>
      </c>
      <c r="F129" s="12"/>
      <c r="G129" s="12"/>
      <c r="H129" s="12"/>
      <c r="I129" s="12"/>
      <c r="J129" s="118"/>
      <c r="K129" s="118"/>
      <c r="L129" s="119"/>
    </row>
    <row r="130" spans="1:17">
      <c r="A130" s="90"/>
      <c r="B130" s="91"/>
      <c r="C130" s="129">
        <v>1747911</v>
      </c>
      <c r="D130" s="129">
        <v>50.46</v>
      </c>
      <c r="E130" s="42">
        <f t="shared" si="4"/>
        <v>1102.3900000000001</v>
      </c>
      <c r="F130" s="12"/>
      <c r="G130" s="12"/>
      <c r="H130" s="12"/>
      <c r="I130" s="12"/>
      <c r="J130" s="92"/>
      <c r="K130" s="92"/>
      <c r="L130" s="122"/>
      <c r="P130" s="130"/>
      <c r="Q130" s="130"/>
    </row>
    <row r="131" spans="1:17">
      <c r="A131" s="84" t="s">
        <v>72</v>
      </c>
      <c r="B131" s="85" t="s">
        <v>77</v>
      </c>
      <c r="C131" s="42">
        <v>1750486</v>
      </c>
      <c r="D131" s="42">
        <v>116.17</v>
      </c>
      <c r="E131" s="42">
        <f t="shared" si="4"/>
        <v>1218.5600000000002</v>
      </c>
      <c r="F131" s="12"/>
      <c r="G131" s="12"/>
      <c r="H131" s="12"/>
      <c r="I131" s="12"/>
      <c r="J131" s="86">
        <v>45695</v>
      </c>
      <c r="K131" s="86">
        <v>45705</v>
      </c>
      <c r="L131" s="116" t="s">
        <v>34</v>
      </c>
      <c r="P131" s="130"/>
      <c r="Q131" s="130"/>
    </row>
    <row r="132" spans="1:17">
      <c r="A132" s="90"/>
      <c r="B132" s="91"/>
      <c r="C132" s="42">
        <v>1750485</v>
      </c>
      <c r="D132" s="42">
        <v>101.42</v>
      </c>
      <c r="E132" s="129">
        <f t="shared" si="4"/>
        <v>1319.9800000000002</v>
      </c>
      <c r="F132" s="33" t="s">
        <v>78</v>
      </c>
      <c r="G132" s="95"/>
      <c r="H132" s="95"/>
      <c r="I132" s="34"/>
      <c r="J132" s="92"/>
      <c r="K132" s="92"/>
      <c r="L132" s="122"/>
      <c r="P132" s="130"/>
      <c r="Q132" s="130"/>
    </row>
    <row r="133" spans="1:17">
      <c r="A133" s="131"/>
      <c r="B133" s="132"/>
      <c r="C133" s="42"/>
      <c r="D133" s="42"/>
      <c r="E133" s="42">
        <f t="shared" si="4"/>
        <v>1319.9800000000002</v>
      </c>
      <c r="F133" s="12"/>
      <c r="G133" s="12"/>
      <c r="H133" s="12"/>
      <c r="I133" s="12"/>
      <c r="J133" s="126"/>
      <c r="K133" s="126"/>
      <c r="L133" s="127"/>
      <c r="P133" s="130"/>
      <c r="Q133" s="130"/>
    </row>
    <row r="134" spans="1:17">
      <c r="A134" s="131"/>
      <c r="B134" s="132"/>
      <c r="C134" s="42"/>
      <c r="D134" s="42"/>
      <c r="E134" s="42">
        <f t="shared" si="4"/>
        <v>1319.9800000000002</v>
      </c>
      <c r="F134" s="12"/>
      <c r="G134" s="12"/>
      <c r="H134" s="12"/>
      <c r="I134" s="12"/>
      <c r="J134" s="126"/>
      <c r="K134" s="126"/>
      <c r="L134" s="127"/>
      <c r="P134" s="130"/>
      <c r="Q134" s="130"/>
    </row>
    <row r="135" spans="1:17">
      <c r="A135" s="131"/>
      <c r="B135" s="132"/>
      <c r="C135" s="42"/>
      <c r="D135" s="42"/>
      <c r="E135" s="42">
        <f t="shared" si="4"/>
        <v>1319.9800000000002</v>
      </c>
      <c r="F135" s="12"/>
      <c r="G135" s="12"/>
      <c r="H135" s="12"/>
      <c r="I135" s="12"/>
      <c r="J135" s="126"/>
      <c r="K135" s="126"/>
      <c r="L135" s="127"/>
      <c r="P135" s="130"/>
      <c r="Q135" s="130"/>
    </row>
    <row r="136" spans="1:17">
      <c r="A136" s="128"/>
      <c r="B136" s="43"/>
      <c r="C136" s="42"/>
      <c r="D136" s="42"/>
      <c r="E136" s="42">
        <f t="shared" si="4"/>
        <v>1319.9800000000002</v>
      </c>
      <c r="F136" s="12"/>
      <c r="G136" s="12"/>
      <c r="H136" s="12"/>
      <c r="I136" s="12"/>
      <c r="J136" s="44"/>
      <c r="K136" s="44"/>
      <c r="L136" s="123"/>
    </row>
    <row r="137" spans="1:17">
      <c r="A137" s="69"/>
      <c r="B137" s="42" t="s">
        <v>35</v>
      </c>
      <c r="C137" s="42"/>
      <c r="D137" s="42"/>
      <c r="E137" s="129">
        <f t="shared" si="4"/>
        <v>1319.9800000000002</v>
      </c>
      <c r="F137" s="12"/>
      <c r="G137" s="12"/>
      <c r="H137" s="12"/>
      <c r="I137" s="12"/>
      <c r="J137" s="12"/>
      <c r="K137" s="12"/>
      <c r="L137" s="123"/>
    </row>
    <row r="138" spans="1:17">
      <c r="A138" s="41"/>
      <c r="B138" s="133"/>
      <c r="C138" s="134"/>
      <c r="D138" s="41"/>
      <c r="E138" s="41"/>
      <c r="F138" s="41"/>
      <c r="G138" s="41"/>
      <c r="H138" s="135"/>
      <c r="I138" s="41"/>
      <c r="J138" s="41"/>
      <c r="K138" s="41"/>
      <c r="L138" s="41"/>
    </row>
    <row r="139" spans="1:17">
      <c r="A139" s="1" t="s">
        <v>65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7">
      <c r="A140" s="2" t="s">
        <v>79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7" ht="36.75">
      <c r="A141" s="4" t="s">
        <v>2</v>
      </c>
      <c r="B141" s="5" t="s">
        <v>3</v>
      </c>
      <c r="C141" s="6" t="s">
        <v>4</v>
      </c>
      <c r="D141" s="7" t="s">
        <v>5</v>
      </c>
      <c r="E141" s="5" t="s">
        <v>6</v>
      </c>
      <c r="F141" s="8" t="s">
        <v>7</v>
      </c>
      <c r="G141" s="76" t="s">
        <v>8</v>
      </c>
      <c r="H141" s="77"/>
      <c r="I141" s="6" t="s">
        <v>9</v>
      </c>
      <c r="J141" s="5" t="s">
        <v>10</v>
      </c>
      <c r="K141" s="5" t="s">
        <v>11</v>
      </c>
      <c r="L141" s="24" t="s">
        <v>12</v>
      </c>
    </row>
    <row r="142" spans="1:17">
      <c r="A142" s="136" t="s">
        <v>67</v>
      </c>
      <c r="B142" s="137" t="s">
        <v>80</v>
      </c>
      <c r="C142" s="138">
        <v>1734082</v>
      </c>
      <c r="D142" s="139">
        <v>59.07</v>
      </c>
      <c r="E142" s="140">
        <v>59.07</v>
      </c>
      <c r="F142" s="141"/>
      <c r="G142" s="142"/>
      <c r="H142" s="142"/>
      <c r="I142" s="143"/>
      <c r="J142" s="144">
        <v>45506</v>
      </c>
      <c r="K142" s="144">
        <v>45516</v>
      </c>
      <c r="L142" s="145" t="s">
        <v>15</v>
      </c>
      <c r="O142" s="105"/>
    </row>
    <row r="143" spans="1:17">
      <c r="A143" s="146"/>
      <c r="B143" s="147"/>
      <c r="C143" s="138">
        <v>1734083</v>
      </c>
      <c r="D143" s="139">
        <v>62.86</v>
      </c>
      <c r="E143" s="148">
        <f>E142+D143</f>
        <v>121.93</v>
      </c>
      <c r="F143" s="141"/>
      <c r="G143" s="142"/>
      <c r="H143" s="142"/>
      <c r="I143" s="143"/>
      <c r="J143" s="149"/>
      <c r="K143" s="149"/>
      <c r="L143" s="150"/>
    </row>
    <row r="144" spans="1:17" ht="13.5" customHeight="1">
      <c r="A144" s="136" t="s">
        <v>72</v>
      </c>
      <c r="B144" s="137" t="s">
        <v>81</v>
      </c>
      <c r="C144" s="138">
        <v>1734217</v>
      </c>
      <c r="D144" s="139">
        <v>49.91</v>
      </c>
      <c r="E144" s="148">
        <f t="shared" ref="E144:E207" si="5">E143+D144</f>
        <v>171.84</v>
      </c>
      <c r="F144" s="141"/>
      <c r="G144" s="142"/>
      <c r="H144" s="142"/>
      <c r="I144" s="143"/>
      <c r="J144" s="144">
        <v>45509</v>
      </c>
      <c r="K144" s="144">
        <v>45519</v>
      </c>
      <c r="L144" s="145" t="s">
        <v>15</v>
      </c>
    </row>
    <row r="145" spans="1:15" ht="11.25" customHeight="1">
      <c r="A145" s="151"/>
      <c r="B145" s="152"/>
      <c r="C145" s="138">
        <v>1734219</v>
      </c>
      <c r="D145" s="139">
        <v>95.01</v>
      </c>
      <c r="E145" s="148">
        <f t="shared" si="5"/>
        <v>266.85000000000002</v>
      </c>
      <c r="F145" s="141"/>
      <c r="G145" s="142"/>
      <c r="H145" s="142"/>
      <c r="I145" s="143"/>
      <c r="J145" s="153"/>
      <c r="K145" s="153"/>
      <c r="L145" s="154"/>
    </row>
    <row r="146" spans="1:15">
      <c r="A146" s="151"/>
      <c r="B146" s="152"/>
      <c r="C146" s="138">
        <v>1734222</v>
      </c>
      <c r="D146" s="139">
        <v>112.18</v>
      </c>
      <c r="E146" s="148">
        <f t="shared" si="5"/>
        <v>379.03000000000003</v>
      </c>
      <c r="F146" s="141"/>
      <c r="G146" s="142"/>
      <c r="H146" s="142"/>
      <c r="I146" s="143"/>
      <c r="J146" s="153"/>
      <c r="K146" s="153"/>
      <c r="L146" s="154"/>
    </row>
    <row r="147" spans="1:15">
      <c r="A147" s="151"/>
      <c r="B147" s="152"/>
      <c r="C147" s="138">
        <v>1734227</v>
      </c>
      <c r="D147" s="139">
        <v>42.2</v>
      </c>
      <c r="E147" s="148">
        <f t="shared" si="5"/>
        <v>421.23</v>
      </c>
      <c r="F147" s="141"/>
      <c r="G147" s="142"/>
      <c r="H147" s="142"/>
      <c r="I147" s="143"/>
      <c r="J147" s="153"/>
      <c r="K147" s="153"/>
      <c r="L147" s="154"/>
    </row>
    <row r="148" spans="1:15">
      <c r="A148" s="146"/>
      <c r="B148" s="147"/>
      <c r="C148" s="138">
        <v>1734226</v>
      </c>
      <c r="D148" s="139">
        <v>3</v>
      </c>
      <c r="E148" s="155">
        <f t="shared" si="5"/>
        <v>424.23</v>
      </c>
      <c r="F148" s="156" t="s">
        <v>78</v>
      </c>
      <c r="G148" s="142"/>
      <c r="H148" s="142"/>
      <c r="I148" s="143"/>
      <c r="J148" s="149"/>
      <c r="K148" s="149"/>
      <c r="L148" s="150"/>
      <c r="O148" s="88"/>
    </row>
    <row r="149" spans="1:15">
      <c r="A149" s="136" t="s">
        <v>67</v>
      </c>
      <c r="B149" s="137" t="s">
        <v>82</v>
      </c>
      <c r="C149" s="138">
        <v>1739127</v>
      </c>
      <c r="D149" s="139">
        <v>106.6</v>
      </c>
      <c r="E149" s="148">
        <f t="shared" si="5"/>
        <v>530.83000000000004</v>
      </c>
      <c r="F149" s="141"/>
      <c r="G149" s="142"/>
      <c r="H149" s="142"/>
      <c r="I149" s="143"/>
      <c r="J149" s="144">
        <v>45580</v>
      </c>
      <c r="K149" s="144">
        <v>45590</v>
      </c>
      <c r="L149" s="145" t="s">
        <v>15</v>
      </c>
    </row>
    <row r="150" spans="1:15">
      <c r="A150" s="146"/>
      <c r="B150" s="147"/>
      <c r="C150" s="138">
        <v>1739130</v>
      </c>
      <c r="D150" s="139">
        <v>47.72</v>
      </c>
      <c r="E150" s="148">
        <f t="shared" si="5"/>
        <v>578.55000000000007</v>
      </c>
      <c r="F150" s="141"/>
      <c r="G150" s="142"/>
      <c r="H150" s="142"/>
      <c r="I150" s="143"/>
      <c r="J150" s="149"/>
      <c r="K150" s="149"/>
      <c r="L150" s="150"/>
    </row>
    <row r="151" spans="1:15">
      <c r="A151" s="157" t="s">
        <v>67</v>
      </c>
      <c r="B151" s="158" t="s">
        <v>55</v>
      </c>
      <c r="C151" s="138">
        <v>1739547</v>
      </c>
      <c r="D151" s="139">
        <v>49.91</v>
      </c>
      <c r="E151" s="148">
        <f t="shared" si="5"/>
        <v>628.46</v>
      </c>
      <c r="F151" s="138"/>
      <c r="G151" s="138"/>
      <c r="H151" s="138"/>
      <c r="I151" s="138"/>
      <c r="J151" s="159">
        <v>45586</v>
      </c>
      <c r="K151" s="159">
        <v>45596</v>
      </c>
      <c r="L151" s="160" t="s">
        <v>15</v>
      </c>
    </row>
    <row r="152" spans="1:15">
      <c r="A152" s="136" t="s">
        <v>67</v>
      </c>
      <c r="B152" s="137" t="s">
        <v>83</v>
      </c>
      <c r="C152" s="138">
        <v>1743301</v>
      </c>
      <c r="D152" s="139">
        <v>61.87</v>
      </c>
      <c r="E152" s="148">
        <f t="shared" si="5"/>
        <v>690.33</v>
      </c>
      <c r="F152" s="138"/>
      <c r="G152" s="138"/>
      <c r="H152" s="138"/>
      <c r="I152" s="138"/>
      <c r="J152" s="144">
        <v>45624</v>
      </c>
      <c r="K152" s="144">
        <v>45634</v>
      </c>
      <c r="L152" s="145" t="s">
        <v>15</v>
      </c>
    </row>
    <row r="153" spans="1:15">
      <c r="A153" s="146"/>
      <c r="B153" s="147"/>
      <c r="C153" s="138">
        <v>1743302</v>
      </c>
      <c r="D153" s="139">
        <v>17.989999999999998</v>
      </c>
      <c r="E153" s="148">
        <f t="shared" si="5"/>
        <v>708.32</v>
      </c>
      <c r="F153" s="138"/>
      <c r="G153" s="138"/>
      <c r="H153" s="138"/>
      <c r="I153" s="138"/>
      <c r="J153" s="149"/>
      <c r="K153" s="149"/>
      <c r="L153" s="150"/>
    </row>
    <row r="154" spans="1:15">
      <c r="A154" s="131" t="s">
        <v>72</v>
      </c>
      <c r="B154" s="132" t="s">
        <v>84</v>
      </c>
      <c r="C154" s="42">
        <v>1745016</v>
      </c>
      <c r="D154" s="69">
        <v>107.29</v>
      </c>
      <c r="E154" s="148">
        <f t="shared" si="5"/>
        <v>815.61</v>
      </c>
      <c r="F154" s="138"/>
      <c r="G154" s="138"/>
      <c r="H154" s="138"/>
      <c r="I154" s="138"/>
      <c r="J154" s="159">
        <v>45639</v>
      </c>
      <c r="K154" s="159">
        <v>45649</v>
      </c>
      <c r="L154" s="160" t="s">
        <v>15</v>
      </c>
    </row>
    <row r="155" spans="1:15" ht="18" customHeight="1">
      <c r="A155" s="131" t="s">
        <v>72</v>
      </c>
      <c r="B155" s="132" t="s">
        <v>85</v>
      </c>
      <c r="C155" s="42">
        <v>1745606</v>
      </c>
      <c r="D155" s="69">
        <v>52.68</v>
      </c>
      <c r="E155" s="148">
        <f t="shared" si="5"/>
        <v>868.29</v>
      </c>
      <c r="F155" s="138"/>
      <c r="G155" s="138"/>
      <c r="H155" s="138"/>
      <c r="I155" s="138"/>
      <c r="J155" s="159">
        <v>45644</v>
      </c>
      <c r="K155" s="159">
        <v>45654</v>
      </c>
      <c r="L155" s="160" t="s">
        <v>15</v>
      </c>
    </row>
    <row r="156" spans="1:15" ht="18" customHeight="1">
      <c r="A156" s="84" t="s">
        <v>67</v>
      </c>
      <c r="B156" s="85" t="s">
        <v>61</v>
      </c>
      <c r="C156" s="42">
        <v>1745891</v>
      </c>
      <c r="D156" s="69">
        <v>82.29</v>
      </c>
      <c r="E156" s="148">
        <f t="shared" si="5"/>
        <v>950.57999999999993</v>
      </c>
      <c r="F156" s="138"/>
      <c r="G156" s="138"/>
      <c r="H156" s="138"/>
      <c r="I156" s="138"/>
      <c r="J156" s="144">
        <v>45646</v>
      </c>
      <c r="K156" s="144">
        <v>45656</v>
      </c>
      <c r="L156" s="145" t="s">
        <v>15</v>
      </c>
    </row>
    <row r="157" spans="1:15" ht="15.75" customHeight="1">
      <c r="A157" s="102"/>
      <c r="B157" s="117"/>
      <c r="C157" s="42">
        <v>1745892</v>
      </c>
      <c r="D157" s="69">
        <v>65.25</v>
      </c>
      <c r="E157" s="148">
        <f t="shared" si="5"/>
        <v>1015.8299999999999</v>
      </c>
      <c r="F157" s="138"/>
      <c r="G157" s="138"/>
      <c r="H157" s="138"/>
      <c r="I157" s="138"/>
      <c r="J157" s="153"/>
      <c r="K157" s="153"/>
      <c r="L157" s="154"/>
    </row>
    <row r="158" spans="1:15" ht="18.75" customHeight="1">
      <c r="A158" s="90"/>
      <c r="B158" s="91"/>
      <c r="C158" s="42">
        <v>1745893</v>
      </c>
      <c r="D158" s="69">
        <v>52.1</v>
      </c>
      <c r="E158" s="148">
        <f t="shared" si="5"/>
        <v>1067.9299999999998</v>
      </c>
      <c r="F158" s="138"/>
      <c r="G158" s="138"/>
      <c r="H158" s="138"/>
      <c r="I158" s="138"/>
      <c r="J158" s="149"/>
      <c r="K158" s="149"/>
      <c r="L158" s="150"/>
    </row>
    <row r="159" spans="1:15" ht="16.5" customHeight="1">
      <c r="A159" s="84" t="s">
        <v>67</v>
      </c>
      <c r="B159" s="85" t="s">
        <v>86</v>
      </c>
      <c r="C159" s="42">
        <v>1747268</v>
      </c>
      <c r="D159" s="69">
        <v>65.75</v>
      </c>
      <c r="E159" s="148">
        <f t="shared" si="5"/>
        <v>1133.6799999999998</v>
      </c>
      <c r="F159" s="138"/>
      <c r="G159" s="138"/>
      <c r="H159" s="138"/>
      <c r="I159" s="138"/>
      <c r="J159" s="144">
        <v>45659</v>
      </c>
      <c r="K159" s="144">
        <v>45669</v>
      </c>
      <c r="L159" s="145" t="s">
        <v>15</v>
      </c>
    </row>
    <row r="160" spans="1:15" ht="16.5" customHeight="1">
      <c r="A160" s="102"/>
      <c r="B160" s="117"/>
      <c r="C160" s="42">
        <v>1747264</v>
      </c>
      <c r="D160" s="69">
        <v>61.13</v>
      </c>
      <c r="E160" s="148">
        <f t="shared" si="5"/>
        <v>1194.81</v>
      </c>
      <c r="F160" s="138"/>
      <c r="G160" s="138"/>
      <c r="H160" s="138"/>
      <c r="I160" s="138"/>
      <c r="J160" s="153"/>
      <c r="K160" s="153"/>
      <c r="L160" s="154"/>
    </row>
    <row r="161" spans="1:12" ht="18" customHeight="1">
      <c r="A161" s="102"/>
      <c r="B161" s="117"/>
      <c r="C161" s="42">
        <v>1747275</v>
      </c>
      <c r="D161" s="69">
        <v>56.57</v>
      </c>
      <c r="E161" s="148">
        <f t="shared" si="5"/>
        <v>1251.3799999999999</v>
      </c>
      <c r="F161" s="138"/>
      <c r="G161" s="138"/>
      <c r="H161" s="138"/>
      <c r="I161" s="138"/>
      <c r="J161" s="153"/>
      <c r="K161" s="153"/>
      <c r="L161" s="154"/>
    </row>
    <row r="162" spans="1:12" ht="15.75" customHeight="1">
      <c r="A162" s="102"/>
      <c r="B162" s="117"/>
      <c r="C162" s="42">
        <v>1747265</v>
      </c>
      <c r="D162" s="69">
        <v>70.13</v>
      </c>
      <c r="E162" s="148">
        <f t="shared" si="5"/>
        <v>1321.5099999999998</v>
      </c>
      <c r="F162" s="138"/>
      <c r="G162" s="138"/>
      <c r="H162" s="138"/>
      <c r="I162" s="138"/>
      <c r="J162" s="153"/>
      <c r="K162" s="153"/>
      <c r="L162" s="154"/>
    </row>
    <row r="163" spans="1:12">
      <c r="A163" s="102"/>
      <c r="B163" s="117"/>
      <c r="C163" s="42">
        <v>1747276</v>
      </c>
      <c r="D163" s="69">
        <v>56.79</v>
      </c>
      <c r="E163" s="148">
        <f t="shared" si="5"/>
        <v>1378.2999999999997</v>
      </c>
      <c r="F163" s="138"/>
      <c r="G163" s="138"/>
      <c r="H163" s="138"/>
      <c r="I163" s="138"/>
      <c r="J163" s="153"/>
      <c r="K163" s="153"/>
      <c r="L163" s="154"/>
    </row>
    <row r="164" spans="1:12">
      <c r="A164" s="102"/>
      <c r="B164" s="117"/>
      <c r="C164" s="42">
        <v>1747266</v>
      </c>
      <c r="D164" s="69">
        <v>49.91</v>
      </c>
      <c r="E164" s="148">
        <f t="shared" si="5"/>
        <v>1428.2099999999998</v>
      </c>
      <c r="F164" s="138"/>
      <c r="G164" s="138"/>
      <c r="H164" s="138"/>
      <c r="I164" s="138"/>
      <c r="J164" s="153"/>
      <c r="K164" s="153"/>
      <c r="L164" s="154"/>
    </row>
    <row r="165" spans="1:12" ht="17.25" customHeight="1">
      <c r="A165" s="102"/>
      <c r="B165" s="117"/>
      <c r="C165" s="42">
        <v>1747278</v>
      </c>
      <c r="D165" s="69">
        <v>56.99</v>
      </c>
      <c r="E165" s="148">
        <f t="shared" si="5"/>
        <v>1485.1999999999998</v>
      </c>
      <c r="F165" s="138"/>
      <c r="G165" s="138"/>
      <c r="H165" s="138"/>
      <c r="I165" s="138"/>
      <c r="J165" s="153"/>
      <c r="K165" s="153"/>
      <c r="L165" s="154"/>
    </row>
    <row r="166" spans="1:12" ht="15" customHeight="1">
      <c r="A166" s="102"/>
      <c r="B166" s="117"/>
      <c r="C166" s="42">
        <v>1747277</v>
      </c>
      <c r="D166" s="69">
        <v>62.27</v>
      </c>
      <c r="E166" s="148">
        <f t="shared" si="5"/>
        <v>1547.4699999999998</v>
      </c>
      <c r="F166" s="138"/>
      <c r="G166" s="138"/>
      <c r="H166" s="138"/>
      <c r="I166" s="138"/>
      <c r="J166" s="153"/>
      <c r="K166" s="153"/>
      <c r="L166" s="154"/>
    </row>
    <row r="167" spans="1:12" ht="18" customHeight="1">
      <c r="A167" s="102"/>
      <c r="B167" s="117"/>
      <c r="C167" s="42">
        <v>1747267</v>
      </c>
      <c r="D167" s="69">
        <v>51.11</v>
      </c>
      <c r="E167" s="148">
        <f t="shared" si="5"/>
        <v>1598.5799999999997</v>
      </c>
      <c r="F167" s="138"/>
      <c r="G167" s="138"/>
      <c r="H167" s="138"/>
      <c r="I167" s="138"/>
      <c r="J167" s="153"/>
      <c r="K167" s="153"/>
      <c r="L167" s="154"/>
    </row>
    <row r="168" spans="1:12" ht="15" customHeight="1">
      <c r="A168" s="90"/>
      <c r="B168" s="91"/>
      <c r="C168" s="42">
        <v>1747269</v>
      </c>
      <c r="D168" s="69">
        <v>2.63</v>
      </c>
      <c r="E168" s="148">
        <f t="shared" si="5"/>
        <v>1601.2099999999998</v>
      </c>
      <c r="F168" s="138"/>
      <c r="G168" s="138"/>
      <c r="H168" s="138"/>
      <c r="I168" s="138"/>
      <c r="J168" s="149"/>
      <c r="K168" s="149"/>
      <c r="L168" s="150"/>
    </row>
    <row r="169" spans="1:12" ht="15" customHeight="1">
      <c r="A169" s="161" t="s">
        <v>67</v>
      </c>
      <c r="B169" s="161">
        <v>1026551</v>
      </c>
      <c r="C169" s="59">
        <v>1747691</v>
      </c>
      <c r="D169" s="162">
        <v>11.24</v>
      </c>
      <c r="E169" s="148">
        <f t="shared" si="5"/>
        <v>1612.4499999999998</v>
      </c>
      <c r="F169" s="124"/>
      <c r="G169" s="124"/>
      <c r="H169" s="124"/>
      <c r="I169" s="124"/>
      <c r="J169" s="163">
        <v>45665</v>
      </c>
      <c r="K169" s="163">
        <v>45675</v>
      </c>
      <c r="L169" s="161" t="s">
        <v>15</v>
      </c>
    </row>
    <row r="170" spans="1:12" ht="15.75" customHeight="1">
      <c r="A170" s="164"/>
      <c r="B170" s="164"/>
      <c r="C170" s="59">
        <v>1747690</v>
      </c>
      <c r="D170" s="162">
        <v>58.19</v>
      </c>
      <c r="E170" s="148">
        <f t="shared" si="5"/>
        <v>1670.6399999999999</v>
      </c>
      <c r="F170" s="124"/>
      <c r="G170" s="124"/>
      <c r="H170" s="124"/>
      <c r="I170" s="124"/>
      <c r="J170" s="165"/>
      <c r="K170" s="165"/>
      <c r="L170" s="164"/>
    </row>
    <row r="171" spans="1:12" ht="17.25" customHeight="1">
      <c r="A171" s="164"/>
      <c r="B171" s="164"/>
      <c r="C171" s="59">
        <v>1747689</v>
      </c>
      <c r="D171" s="162">
        <v>100.12</v>
      </c>
      <c r="E171" s="148">
        <f t="shared" si="5"/>
        <v>1770.7599999999998</v>
      </c>
      <c r="F171" s="124"/>
      <c r="G171" s="124"/>
      <c r="H171" s="124"/>
      <c r="I171" s="124"/>
      <c r="J171" s="165"/>
      <c r="K171" s="165"/>
      <c r="L171" s="164"/>
    </row>
    <row r="172" spans="1:12" ht="16.5" customHeight="1">
      <c r="A172" s="164"/>
      <c r="B172" s="164"/>
      <c r="C172" s="59">
        <v>1747688</v>
      </c>
      <c r="D172" s="162">
        <v>69.930000000000007</v>
      </c>
      <c r="E172" s="148">
        <f t="shared" si="5"/>
        <v>1840.6899999999998</v>
      </c>
      <c r="F172" s="124"/>
      <c r="G172" s="124"/>
      <c r="H172" s="124"/>
      <c r="I172" s="124"/>
      <c r="J172" s="165"/>
      <c r="K172" s="165"/>
      <c r="L172" s="164"/>
    </row>
    <row r="173" spans="1:12" ht="18.75" customHeight="1">
      <c r="A173" s="166"/>
      <c r="B173" s="166"/>
      <c r="C173" s="59">
        <v>1747687</v>
      </c>
      <c r="D173" s="162">
        <v>60.27</v>
      </c>
      <c r="E173" s="148">
        <f t="shared" si="5"/>
        <v>1900.9599999999998</v>
      </c>
      <c r="F173" s="124"/>
      <c r="G173" s="124"/>
      <c r="H173" s="124"/>
      <c r="I173" s="124"/>
      <c r="J173" s="167"/>
      <c r="K173" s="167"/>
      <c r="L173" s="166"/>
    </row>
    <row r="174" spans="1:12" ht="16.5" customHeight="1">
      <c r="A174" s="84" t="s">
        <v>67</v>
      </c>
      <c r="B174" s="85" t="s">
        <v>26</v>
      </c>
      <c r="C174" s="42">
        <v>1747903</v>
      </c>
      <c r="D174" s="69">
        <v>67.319999999999993</v>
      </c>
      <c r="E174" s="148">
        <f t="shared" si="5"/>
        <v>1968.2799999999997</v>
      </c>
      <c r="F174" s="138"/>
      <c r="G174" s="138"/>
      <c r="H174" s="138"/>
      <c r="I174" s="138"/>
      <c r="J174" s="144">
        <v>45667</v>
      </c>
      <c r="K174" s="144">
        <v>45677</v>
      </c>
      <c r="L174" s="145" t="s">
        <v>15</v>
      </c>
    </row>
    <row r="175" spans="1:12" ht="18.75" customHeight="1">
      <c r="A175" s="102"/>
      <c r="B175" s="117"/>
      <c r="C175" s="42">
        <v>1747901</v>
      </c>
      <c r="D175" s="69">
        <v>51.11</v>
      </c>
      <c r="E175" s="148">
        <f t="shared" si="5"/>
        <v>2019.3899999999996</v>
      </c>
      <c r="F175" s="138"/>
      <c r="G175" s="138"/>
      <c r="H175" s="138"/>
      <c r="I175" s="138"/>
      <c r="J175" s="153"/>
      <c r="K175" s="153"/>
      <c r="L175" s="154"/>
    </row>
    <row r="176" spans="1:12">
      <c r="A176" s="102"/>
      <c r="B176" s="117"/>
      <c r="C176" s="42">
        <v>1747900</v>
      </c>
      <c r="D176" s="69">
        <v>69.83</v>
      </c>
      <c r="E176" s="148">
        <f t="shared" si="5"/>
        <v>2089.2199999999998</v>
      </c>
      <c r="F176" s="138"/>
      <c r="G176" s="138"/>
      <c r="H176" s="138"/>
      <c r="I176" s="138"/>
      <c r="J176" s="153"/>
      <c r="K176" s="153"/>
      <c r="L176" s="154"/>
    </row>
    <row r="177" spans="1:16">
      <c r="A177" s="102"/>
      <c r="B177" s="117"/>
      <c r="C177" s="42">
        <v>1747899</v>
      </c>
      <c r="D177" s="69">
        <v>39.56</v>
      </c>
      <c r="E177" s="148">
        <f t="shared" si="5"/>
        <v>2128.7799999999997</v>
      </c>
      <c r="F177" s="138"/>
      <c r="G177" s="138"/>
      <c r="H177" s="138"/>
      <c r="I177" s="138"/>
      <c r="J177" s="153"/>
      <c r="K177" s="153"/>
      <c r="L177" s="154"/>
    </row>
    <row r="178" spans="1:16" ht="17.25" customHeight="1">
      <c r="A178" s="102"/>
      <c r="B178" s="117"/>
      <c r="C178" s="42">
        <v>1747898</v>
      </c>
      <c r="D178" s="69">
        <v>55.15</v>
      </c>
      <c r="E178" s="148">
        <f t="shared" si="5"/>
        <v>2183.9299999999998</v>
      </c>
      <c r="F178" s="138"/>
      <c r="G178" s="138"/>
      <c r="H178" s="138"/>
      <c r="I178" s="138"/>
      <c r="J178" s="153"/>
      <c r="K178" s="153"/>
      <c r="L178" s="154"/>
    </row>
    <row r="179" spans="1:16" ht="18" customHeight="1">
      <c r="A179" s="90"/>
      <c r="B179" s="91"/>
      <c r="C179" s="42">
        <v>1747902</v>
      </c>
      <c r="D179" s="69">
        <v>71.13</v>
      </c>
      <c r="E179" s="148">
        <f t="shared" si="5"/>
        <v>2255.06</v>
      </c>
      <c r="F179" s="138"/>
      <c r="G179" s="138"/>
      <c r="H179" s="138"/>
      <c r="I179" s="138"/>
      <c r="J179" s="149"/>
      <c r="K179" s="149"/>
      <c r="L179" s="150"/>
      <c r="P179" s="168"/>
    </row>
    <row r="180" spans="1:16">
      <c r="A180" s="84" t="s">
        <v>72</v>
      </c>
      <c r="B180" s="85" t="s">
        <v>87</v>
      </c>
      <c r="C180" s="42">
        <v>1748927</v>
      </c>
      <c r="D180" s="69">
        <v>23.02</v>
      </c>
      <c r="E180" s="148">
        <f t="shared" si="5"/>
        <v>2278.08</v>
      </c>
      <c r="F180" s="138"/>
      <c r="G180" s="138"/>
      <c r="H180" s="138"/>
      <c r="I180" s="138"/>
      <c r="J180" s="144">
        <v>45678</v>
      </c>
      <c r="K180" s="144">
        <v>45688</v>
      </c>
      <c r="L180" s="145" t="s">
        <v>15</v>
      </c>
    </row>
    <row r="181" spans="1:16">
      <c r="A181" s="102"/>
      <c r="B181" s="117"/>
      <c r="C181" s="42">
        <v>1748928</v>
      </c>
      <c r="D181" s="69">
        <v>61.75</v>
      </c>
      <c r="E181" s="148">
        <f t="shared" si="5"/>
        <v>2339.83</v>
      </c>
      <c r="F181" s="138"/>
      <c r="G181" s="138"/>
      <c r="H181" s="138"/>
      <c r="I181" s="138"/>
      <c r="J181" s="153"/>
      <c r="K181" s="153"/>
      <c r="L181" s="154"/>
    </row>
    <row r="182" spans="1:16">
      <c r="A182" s="102"/>
      <c r="B182" s="117"/>
      <c r="C182" s="42">
        <v>1748929</v>
      </c>
      <c r="D182" s="69">
        <v>112.58</v>
      </c>
      <c r="E182" s="148">
        <f t="shared" si="5"/>
        <v>2452.41</v>
      </c>
      <c r="F182" s="138"/>
      <c r="G182" s="138"/>
      <c r="H182" s="138"/>
      <c r="I182" s="138"/>
      <c r="J182" s="153"/>
      <c r="K182" s="153"/>
      <c r="L182" s="154"/>
    </row>
    <row r="183" spans="1:16" ht="14.25" customHeight="1">
      <c r="A183" s="102"/>
      <c r="B183" s="117"/>
      <c r="C183" s="42">
        <v>1748930</v>
      </c>
      <c r="D183" s="69">
        <v>31.97</v>
      </c>
      <c r="E183" s="148">
        <f t="shared" si="5"/>
        <v>2484.3799999999997</v>
      </c>
      <c r="F183" s="138"/>
      <c r="G183" s="138"/>
      <c r="H183" s="40"/>
      <c r="I183" s="138"/>
      <c r="J183" s="153"/>
      <c r="K183" s="153"/>
      <c r="L183" s="154"/>
    </row>
    <row r="184" spans="1:16">
      <c r="A184" s="102"/>
      <c r="B184" s="117"/>
      <c r="C184" s="42">
        <v>1748931</v>
      </c>
      <c r="D184" s="69">
        <v>60.67</v>
      </c>
      <c r="E184" s="148">
        <f t="shared" si="5"/>
        <v>2545.0499999999997</v>
      </c>
      <c r="F184" s="138"/>
      <c r="G184" s="138"/>
      <c r="H184" s="138"/>
      <c r="I184" s="138"/>
      <c r="J184" s="153"/>
      <c r="K184" s="153"/>
      <c r="L184" s="154"/>
    </row>
    <row r="185" spans="1:16">
      <c r="A185" s="90"/>
      <c r="B185" s="91"/>
      <c r="C185" s="42">
        <v>1748932</v>
      </c>
      <c r="D185" s="69">
        <v>107</v>
      </c>
      <c r="E185" s="148">
        <f t="shared" si="5"/>
        <v>2652.0499999999997</v>
      </c>
      <c r="F185" s="138"/>
      <c r="G185" s="138"/>
      <c r="H185" s="138"/>
      <c r="I185" s="138"/>
      <c r="J185" s="149"/>
      <c r="K185" s="149"/>
      <c r="L185" s="150"/>
      <c r="N185" s="169"/>
    </row>
    <row r="186" spans="1:16">
      <c r="A186" s="84" t="s">
        <v>72</v>
      </c>
      <c r="B186" s="85" t="s">
        <v>88</v>
      </c>
      <c r="C186" s="42">
        <v>1749076</v>
      </c>
      <c r="D186" s="69">
        <v>63.85</v>
      </c>
      <c r="E186" s="148">
        <f t="shared" si="5"/>
        <v>2715.8999999999996</v>
      </c>
      <c r="F186" s="138"/>
      <c r="G186" s="138"/>
      <c r="H186" s="138"/>
      <c r="I186" s="138"/>
      <c r="J186" s="144">
        <v>45679</v>
      </c>
      <c r="K186" s="144">
        <v>45689</v>
      </c>
      <c r="L186" s="145" t="s">
        <v>15</v>
      </c>
      <c r="N186" s="130"/>
    </row>
    <row r="187" spans="1:16">
      <c r="A187" s="102"/>
      <c r="B187" s="117"/>
      <c r="C187" s="42">
        <v>1749077</v>
      </c>
      <c r="D187" s="69">
        <v>36.04</v>
      </c>
      <c r="E187" s="148">
        <f t="shared" si="5"/>
        <v>2751.9399999999996</v>
      </c>
      <c r="F187" s="138"/>
      <c r="G187" s="138"/>
      <c r="H187" s="138"/>
      <c r="I187" s="138"/>
      <c r="J187" s="153"/>
      <c r="K187" s="153"/>
      <c r="L187" s="154"/>
      <c r="N187" s="170"/>
      <c r="O187" s="169"/>
    </row>
    <row r="188" spans="1:16" ht="16.5" customHeight="1">
      <c r="A188" s="102"/>
      <c r="B188" s="117"/>
      <c r="C188" s="42">
        <v>1749078</v>
      </c>
      <c r="D188" s="69">
        <v>49.91</v>
      </c>
      <c r="E188" s="148">
        <f t="shared" si="5"/>
        <v>2801.8499999999995</v>
      </c>
      <c r="F188" s="138"/>
      <c r="G188" s="138"/>
      <c r="H188" s="138"/>
      <c r="I188" s="138"/>
      <c r="J188" s="153"/>
      <c r="K188" s="153"/>
      <c r="L188" s="154"/>
      <c r="N188" s="171"/>
      <c r="O188" s="169"/>
    </row>
    <row r="189" spans="1:16">
      <c r="A189" s="102"/>
      <c r="B189" s="117"/>
      <c r="C189" s="42">
        <v>1749079</v>
      </c>
      <c r="D189" s="69">
        <v>58.68</v>
      </c>
      <c r="E189" s="148">
        <f t="shared" si="5"/>
        <v>2860.5299999999993</v>
      </c>
      <c r="F189" s="138"/>
      <c r="G189" s="138"/>
      <c r="H189" s="40"/>
      <c r="I189" s="138"/>
      <c r="J189" s="153"/>
      <c r="K189" s="153"/>
      <c r="L189" s="154"/>
      <c r="N189" s="172"/>
    </row>
    <row r="190" spans="1:16" ht="15" customHeight="1">
      <c r="A190" s="102"/>
      <c r="B190" s="117"/>
      <c r="C190" s="42">
        <v>1749080</v>
      </c>
      <c r="D190" s="69">
        <v>5.38</v>
      </c>
      <c r="E190" s="148">
        <f t="shared" si="5"/>
        <v>2865.9099999999994</v>
      </c>
      <c r="F190" s="138"/>
      <c r="G190" s="138"/>
      <c r="H190" s="138"/>
      <c r="I190" s="138"/>
      <c r="J190" s="153"/>
      <c r="K190" s="153"/>
      <c r="L190" s="154"/>
      <c r="M190" s="173"/>
      <c r="N190" s="130"/>
    </row>
    <row r="191" spans="1:16">
      <c r="A191" s="90"/>
      <c r="B191" s="91"/>
      <c r="C191" s="42">
        <v>1749081</v>
      </c>
      <c r="D191" s="69">
        <v>82.61</v>
      </c>
      <c r="E191" s="148">
        <f t="shared" si="5"/>
        <v>2948.5199999999995</v>
      </c>
      <c r="F191" s="138"/>
      <c r="G191" s="138"/>
      <c r="H191" s="138"/>
      <c r="I191" s="138"/>
      <c r="J191" s="149"/>
      <c r="K191" s="149"/>
      <c r="L191" s="150"/>
      <c r="M191" s="174"/>
      <c r="N191" s="172"/>
      <c r="O191" s="175"/>
    </row>
    <row r="192" spans="1:16">
      <c r="A192" s="84" t="s">
        <v>72</v>
      </c>
      <c r="B192" s="85" t="s">
        <v>89</v>
      </c>
      <c r="C192" s="42">
        <v>1749199</v>
      </c>
      <c r="D192" s="69">
        <v>49.91</v>
      </c>
      <c r="E192" s="148">
        <f t="shared" si="5"/>
        <v>2998.4299999999994</v>
      </c>
      <c r="F192" s="138"/>
      <c r="G192" s="138"/>
      <c r="H192" s="138"/>
      <c r="I192" s="138"/>
      <c r="J192" s="144">
        <v>45680</v>
      </c>
      <c r="K192" s="144">
        <v>45690</v>
      </c>
      <c r="L192" s="145" t="s">
        <v>15</v>
      </c>
    </row>
    <row r="193" spans="1:13">
      <c r="A193" s="90"/>
      <c r="B193" s="91"/>
      <c r="C193" s="42">
        <v>1749200</v>
      </c>
      <c r="D193" s="69">
        <v>61.55</v>
      </c>
      <c r="E193" s="148">
        <f t="shared" si="5"/>
        <v>3059.9799999999996</v>
      </c>
      <c r="F193" s="138"/>
      <c r="G193" s="138"/>
      <c r="I193" s="138"/>
      <c r="J193" s="149"/>
      <c r="K193" s="149"/>
      <c r="L193" s="150"/>
      <c r="M193" s="176"/>
    </row>
    <row r="194" spans="1:13">
      <c r="A194" s="84" t="s">
        <v>72</v>
      </c>
      <c r="B194" s="85" t="s">
        <v>90</v>
      </c>
      <c r="C194" s="42">
        <v>1749332</v>
      </c>
      <c r="D194" s="69">
        <v>59.9</v>
      </c>
      <c r="E194" s="148">
        <f t="shared" si="5"/>
        <v>3119.8799999999997</v>
      </c>
      <c r="F194" s="138"/>
      <c r="G194" s="138"/>
      <c r="H194" s="138"/>
      <c r="I194" s="138"/>
      <c r="J194" s="144">
        <v>45681</v>
      </c>
      <c r="K194" s="144">
        <v>45691</v>
      </c>
      <c r="L194" s="145" t="s">
        <v>15</v>
      </c>
    </row>
    <row r="195" spans="1:13">
      <c r="A195" s="102"/>
      <c r="B195" s="117"/>
      <c r="C195" s="42">
        <v>1749333</v>
      </c>
      <c r="D195" s="69">
        <v>119.79</v>
      </c>
      <c r="E195" s="148">
        <f t="shared" si="5"/>
        <v>3239.6699999999996</v>
      </c>
      <c r="F195" s="138"/>
      <c r="G195" s="138"/>
      <c r="H195" s="138"/>
      <c r="I195" s="138"/>
      <c r="J195" s="153"/>
      <c r="K195" s="153"/>
      <c r="L195" s="154"/>
    </row>
    <row r="196" spans="1:13">
      <c r="A196" s="102"/>
      <c r="B196" s="117"/>
      <c r="C196" s="42">
        <v>1749334</v>
      </c>
      <c r="D196" s="69">
        <v>44.63</v>
      </c>
      <c r="E196" s="155">
        <f t="shared" si="5"/>
        <v>3284.2999999999997</v>
      </c>
      <c r="F196" s="177" t="s">
        <v>91</v>
      </c>
      <c r="G196" s="178"/>
      <c r="H196" s="40"/>
      <c r="I196" s="138"/>
      <c r="J196" s="153"/>
      <c r="K196" s="153"/>
      <c r="L196" s="154"/>
    </row>
    <row r="197" spans="1:13" ht="15.75" customHeight="1">
      <c r="A197" s="102"/>
      <c r="B197" s="117"/>
      <c r="C197" s="42">
        <v>1749335</v>
      </c>
      <c r="D197" s="69">
        <v>55.28</v>
      </c>
      <c r="E197" s="148">
        <f t="shared" si="5"/>
        <v>3339.58</v>
      </c>
      <c r="F197" s="138"/>
      <c r="G197" s="138"/>
      <c r="H197" s="138"/>
      <c r="I197" s="138"/>
      <c r="J197" s="153"/>
      <c r="K197" s="153"/>
      <c r="L197" s="154"/>
    </row>
    <row r="198" spans="1:13" ht="16.5" customHeight="1">
      <c r="A198" s="90"/>
      <c r="B198" s="91"/>
      <c r="C198" s="42">
        <v>1749336</v>
      </c>
      <c r="D198" s="69">
        <v>20.68</v>
      </c>
      <c r="E198" s="148">
        <f t="shared" si="5"/>
        <v>3360.2599999999998</v>
      </c>
      <c r="F198" s="138"/>
      <c r="G198" s="138"/>
      <c r="H198" s="138"/>
      <c r="I198" s="138"/>
      <c r="J198" s="149"/>
      <c r="K198" s="149"/>
      <c r="L198" s="150"/>
    </row>
    <row r="199" spans="1:13" ht="16.5" customHeight="1">
      <c r="A199" s="131" t="s">
        <v>72</v>
      </c>
      <c r="B199" s="132" t="s">
        <v>92</v>
      </c>
      <c r="C199" s="42">
        <v>1751822</v>
      </c>
      <c r="D199" s="69">
        <v>49.92</v>
      </c>
      <c r="E199" s="148">
        <f t="shared" si="5"/>
        <v>3410.18</v>
      </c>
      <c r="F199" s="138"/>
      <c r="G199" s="138"/>
      <c r="H199" s="138"/>
      <c r="I199" s="138"/>
      <c r="J199" s="159">
        <v>45715</v>
      </c>
      <c r="K199" s="159">
        <v>45720</v>
      </c>
      <c r="L199" s="145" t="s">
        <v>15</v>
      </c>
    </row>
    <row r="200" spans="1:13" ht="16.5" customHeight="1">
      <c r="A200" s="131" t="s">
        <v>72</v>
      </c>
      <c r="B200" s="132" t="s">
        <v>93</v>
      </c>
      <c r="C200" s="42">
        <v>1751903</v>
      </c>
      <c r="D200" s="69">
        <v>57.56</v>
      </c>
      <c r="E200" s="148">
        <f t="shared" si="5"/>
        <v>3467.74</v>
      </c>
      <c r="F200" s="138"/>
      <c r="G200" s="138"/>
      <c r="H200" s="138"/>
      <c r="I200" s="138"/>
      <c r="J200" s="159">
        <v>45716</v>
      </c>
      <c r="K200" s="159">
        <v>45721</v>
      </c>
      <c r="L200" s="154"/>
    </row>
    <row r="201" spans="1:13" ht="16.5" customHeight="1">
      <c r="A201" s="131" t="s">
        <v>72</v>
      </c>
      <c r="B201" s="132" t="s">
        <v>94</v>
      </c>
      <c r="C201" s="42">
        <v>1752000</v>
      </c>
      <c r="D201" s="69">
        <v>49.91</v>
      </c>
      <c r="E201" s="148">
        <f t="shared" si="5"/>
        <v>3517.6499999999996</v>
      </c>
      <c r="F201" s="138"/>
      <c r="G201" s="138"/>
      <c r="H201" s="138"/>
      <c r="I201" s="138"/>
      <c r="J201" s="159">
        <v>45719</v>
      </c>
      <c r="K201" s="159">
        <v>45724</v>
      </c>
      <c r="L201" s="154"/>
    </row>
    <row r="202" spans="1:13" ht="15.75" customHeight="1">
      <c r="A202" s="84" t="s">
        <v>72</v>
      </c>
      <c r="B202" s="85" t="s">
        <v>95</v>
      </c>
      <c r="C202" s="42">
        <v>1752091</v>
      </c>
      <c r="D202" s="69">
        <v>5.58</v>
      </c>
      <c r="E202" s="148">
        <f t="shared" si="5"/>
        <v>3523.2299999999996</v>
      </c>
      <c r="F202" s="138"/>
      <c r="G202" s="138"/>
      <c r="H202" s="138"/>
      <c r="I202" s="138"/>
      <c r="J202" s="144">
        <v>45720</v>
      </c>
      <c r="K202" s="144">
        <v>45725</v>
      </c>
      <c r="L202" s="154"/>
    </row>
    <row r="203" spans="1:13">
      <c r="A203" s="102"/>
      <c r="B203" s="117"/>
      <c r="C203" s="42">
        <v>1752092</v>
      </c>
      <c r="D203" s="69">
        <v>55.69</v>
      </c>
      <c r="E203" s="148">
        <f t="shared" si="5"/>
        <v>3578.9199999999996</v>
      </c>
      <c r="F203" s="138"/>
      <c r="G203" s="138"/>
      <c r="H203" s="138"/>
      <c r="I203" s="138"/>
      <c r="J203" s="153"/>
      <c r="K203" s="153"/>
      <c r="L203" s="154"/>
    </row>
    <row r="204" spans="1:13">
      <c r="A204" s="102"/>
      <c r="B204" s="117"/>
      <c r="C204" s="42">
        <v>1752094</v>
      </c>
      <c r="D204" s="69">
        <v>51.61</v>
      </c>
      <c r="E204" s="148">
        <f t="shared" si="5"/>
        <v>3630.5299999999997</v>
      </c>
      <c r="F204" s="138"/>
      <c r="G204" s="138"/>
      <c r="H204" s="138"/>
      <c r="I204" s="138"/>
      <c r="J204" s="153"/>
      <c r="K204" s="153"/>
      <c r="L204" s="154"/>
    </row>
    <row r="205" spans="1:13">
      <c r="A205" s="90"/>
      <c r="B205" s="91"/>
      <c r="C205" s="42">
        <v>1752096</v>
      </c>
      <c r="D205" s="69">
        <v>57.96</v>
      </c>
      <c r="E205" s="155">
        <f t="shared" si="5"/>
        <v>3688.49</v>
      </c>
      <c r="F205" s="177" t="s">
        <v>78</v>
      </c>
      <c r="G205" s="179"/>
      <c r="H205" s="178"/>
      <c r="I205" s="138"/>
      <c r="J205" s="149"/>
      <c r="K205" s="149"/>
      <c r="L205" s="150"/>
    </row>
    <row r="206" spans="1:13">
      <c r="A206" s="84" t="s">
        <v>72</v>
      </c>
      <c r="B206" s="85" t="s">
        <v>96</v>
      </c>
      <c r="C206" s="42">
        <v>1752619</v>
      </c>
      <c r="D206" s="69">
        <v>49.91</v>
      </c>
      <c r="E206" s="148">
        <f t="shared" si="5"/>
        <v>3738.3999999999996</v>
      </c>
      <c r="F206" s="138"/>
      <c r="G206" s="138"/>
      <c r="H206" s="138"/>
      <c r="I206" s="138"/>
      <c r="J206" s="144">
        <v>45728</v>
      </c>
      <c r="K206" s="144">
        <v>45733</v>
      </c>
      <c r="L206" s="145" t="s">
        <v>34</v>
      </c>
    </row>
    <row r="207" spans="1:13">
      <c r="A207" s="102"/>
      <c r="B207" s="117"/>
      <c r="C207" s="42">
        <v>1752629</v>
      </c>
      <c r="D207" s="69">
        <v>49.91</v>
      </c>
      <c r="E207" s="148">
        <f t="shared" si="5"/>
        <v>3788.3099999999995</v>
      </c>
      <c r="F207" s="138"/>
      <c r="G207" s="138"/>
      <c r="H207" s="138"/>
      <c r="I207" s="138"/>
      <c r="J207" s="153"/>
      <c r="K207" s="153"/>
      <c r="L207" s="154"/>
    </row>
    <row r="208" spans="1:13">
      <c r="A208" s="90"/>
      <c r="B208" s="91"/>
      <c r="C208" s="42">
        <v>1752631</v>
      </c>
      <c r="D208" s="69">
        <v>62.95</v>
      </c>
      <c r="E208" s="148">
        <f t="shared" ref="E208:E213" si="6">E207+D208</f>
        <v>3851.2599999999993</v>
      </c>
      <c r="F208" s="138"/>
      <c r="G208" s="138"/>
      <c r="H208" s="138"/>
      <c r="I208" s="180">
        <v>37.06</v>
      </c>
      <c r="J208" s="149"/>
      <c r="K208" s="149"/>
      <c r="L208" s="154"/>
    </row>
    <row r="209" spans="1:13">
      <c r="A209" s="131" t="s">
        <v>72</v>
      </c>
      <c r="B209" s="132" t="s">
        <v>97</v>
      </c>
      <c r="C209" s="42">
        <v>1752757</v>
      </c>
      <c r="D209" s="69">
        <v>94.24</v>
      </c>
      <c r="E209" s="148">
        <f t="shared" si="6"/>
        <v>3945.4999999999991</v>
      </c>
      <c r="F209" s="177" t="s">
        <v>98</v>
      </c>
      <c r="G209" s="179"/>
      <c r="H209" s="178"/>
      <c r="J209" s="159">
        <v>45729</v>
      </c>
      <c r="K209" s="159">
        <v>45734</v>
      </c>
      <c r="L209" s="150"/>
    </row>
    <row r="210" spans="1:13">
      <c r="A210" s="131" t="s">
        <v>72</v>
      </c>
      <c r="B210" s="132" t="s">
        <v>99</v>
      </c>
      <c r="C210" s="129">
        <v>1753704</v>
      </c>
      <c r="D210" s="181">
        <v>45.72</v>
      </c>
      <c r="E210" s="148">
        <f t="shared" si="6"/>
        <v>3991.2199999999989</v>
      </c>
      <c r="F210" s="138"/>
      <c r="G210" s="138"/>
      <c r="H210" s="138"/>
      <c r="I210" s="138"/>
      <c r="J210" s="159"/>
      <c r="K210" s="159"/>
      <c r="L210" s="160"/>
    </row>
    <row r="211" spans="1:13">
      <c r="A211" s="131"/>
      <c r="B211" s="132"/>
      <c r="C211" s="42"/>
      <c r="D211" s="69"/>
      <c r="E211" s="148">
        <f t="shared" si="6"/>
        <v>3991.2199999999989</v>
      </c>
      <c r="F211" s="138"/>
      <c r="G211" s="138"/>
      <c r="H211" s="138"/>
      <c r="I211" s="138"/>
      <c r="J211" s="159"/>
      <c r="K211" s="159"/>
      <c r="L211" s="160"/>
    </row>
    <row r="212" spans="1:13" ht="17.25" customHeight="1">
      <c r="A212" s="182"/>
      <c r="B212" s="138"/>
      <c r="C212" s="138"/>
      <c r="D212" s="139"/>
      <c r="E212" s="148">
        <f t="shared" si="6"/>
        <v>3991.2199999999989</v>
      </c>
      <c r="F212" s="138"/>
      <c r="G212" s="138"/>
      <c r="H212" s="138"/>
      <c r="I212" s="138"/>
      <c r="J212" s="138"/>
      <c r="K212" s="138"/>
      <c r="L212" s="138"/>
    </row>
    <row r="213" spans="1:13" ht="48" customHeight="1">
      <c r="A213" s="140"/>
      <c r="B213" s="183" t="s">
        <v>35</v>
      </c>
      <c r="C213" s="183"/>
      <c r="D213" s="140"/>
      <c r="E213" s="155">
        <f t="shared" si="6"/>
        <v>3991.2199999999989</v>
      </c>
      <c r="F213" s="138"/>
      <c r="G213" s="138"/>
      <c r="H213" s="138"/>
      <c r="I213" s="138"/>
      <c r="J213" s="184"/>
      <c r="K213" s="184"/>
      <c r="L213" s="185"/>
    </row>
    <row r="214" spans="1:13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</row>
    <row r="215" spans="1:13" ht="16.5" customHeight="1">
      <c r="A215" s="3" t="s">
        <v>65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3">
      <c r="A216" s="2" t="s">
        <v>100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86"/>
    </row>
    <row r="217" spans="1:13" ht="36.75">
      <c r="A217" s="4" t="s">
        <v>2</v>
      </c>
      <c r="B217" s="5" t="s">
        <v>3</v>
      </c>
      <c r="C217" s="6" t="s">
        <v>4</v>
      </c>
      <c r="D217" s="7" t="s">
        <v>5</v>
      </c>
      <c r="E217" s="5" t="s">
        <v>6</v>
      </c>
      <c r="F217" s="8" t="s">
        <v>7</v>
      </c>
      <c r="G217" s="76" t="s">
        <v>8</v>
      </c>
      <c r="H217" s="77"/>
      <c r="I217" s="6" t="s">
        <v>9</v>
      </c>
      <c r="J217" s="5" t="s">
        <v>10</v>
      </c>
      <c r="K217" s="5" t="s">
        <v>11</v>
      </c>
      <c r="L217" s="7" t="s">
        <v>12</v>
      </c>
    </row>
    <row r="218" spans="1:13">
      <c r="A218" s="69" t="s">
        <v>67</v>
      </c>
      <c r="B218" s="43" t="s">
        <v>101</v>
      </c>
      <c r="C218" s="42">
        <v>1733943</v>
      </c>
      <c r="D218" s="42">
        <v>48.32</v>
      </c>
      <c r="E218" s="69">
        <v>48.32</v>
      </c>
      <c r="F218" s="71"/>
      <c r="G218" s="71"/>
      <c r="H218" s="71"/>
      <c r="I218" s="42"/>
      <c r="J218" s="44">
        <v>45505</v>
      </c>
      <c r="K218" s="44">
        <v>45515</v>
      </c>
      <c r="L218" s="116" t="s">
        <v>15</v>
      </c>
    </row>
    <row r="219" spans="1:13" ht="16.5" customHeight="1">
      <c r="A219" s="69" t="s">
        <v>102</v>
      </c>
      <c r="B219" s="43" t="s">
        <v>80</v>
      </c>
      <c r="C219" s="42">
        <v>1734057</v>
      </c>
      <c r="D219" s="42">
        <v>29.4</v>
      </c>
      <c r="E219" s="69">
        <f>E218+D219</f>
        <v>77.72</v>
      </c>
      <c r="F219" s="71"/>
      <c r="G219" s="71"/>
      <c r="H219" s="71"/>
      <c r="I219" s="42"/>
      <c r="J219" s="44">
        <v>45506</v>
      </c>
      <c r="K219" s="44">
        <v>45516</v>
      </c>
      <c r="L219" s="122"/>
    </row>
    <row r="220" spans="1:13" ht="20.25" customHeight="1">
      <c r="A220" s="84" t="s">
        <v>103</v>
      </c>
      <c r="B220" s="85" t="s">
        <v>50</v>
      </c>
      <c r="C220" s="42">
        <v>1734389</v>
      </c>
      <c r="D220" s="42">
        <v>48.61</v>
      </c>
      <c r="E220" s="69">
        <f t="shared" ref="E220:E261" si="7">E219+D220</f>
        <v>126.33</v>
      </c>
      <c r="F220" s="71"/>
      <c r="G220" s="71"/>
      <c r="H220" s="71"/>
      <c r="I220" s="42"/>
      <c r="J220" s="86">
        <v>45510</v>
      </c>
      <c r="K220" s="86">
        <v>45520</v>
      </c>
      <c r="L220" s="116" t="s">
        <v>15</v>
      </c>
    </row>
    <row r="221" spans="1:13" ht="18" customHeight="1">
      <c r="A221" s="102"/>
      <c r="B221" s="117"/>
      <c r="C221" s="42">
        <v>1734390</v>
      </c>
      <c r="D221" s="42">
        <v>10.33</v>
      </c>
      <c r="E221" s="69">
        <f t="shared" si="7"/>
        <v>136.66</v>
      </c>
      <c r="F221" s="71"/>
      <c r="G221" s="71"/>
      <c r="H221" s="71"/>
      <c r="I221" s="42"/>
      <c r="J221" s="118"/>
      <c r="K221" s="118"/>
      <c r="L221" s="119"/>
    </row>
    <row r="222" spans="1:13" ht="18" customHeight="1">
      <c r="A222" s="90"/>
      <c r="B222" s="91"/>
      <c r="C222" s="42">
        <v>1734391</v>
      </c>
      <c r="D222" s="42">
        <v>51.21</v>
      </c>
      <c r="E222" s="69">
        <f t="shared" si="7"/>
        <v>187.87</v>
      </c>
      <c r="F222" s="71"/>
      <c r="G222" s="71"/>
      <c r="H222" s="71"/>
      <c r="I222" s="71"/>
      <c r="J222" s="92"/>
      <c r="K222" s="92"/>
      <c r="L222" s="122"/>
    </row>
    <row r="223" spans="1:13">
      <c r="A223" s="42" t="s">
        <v>102</v>
      </c>
      <c r="B223" s="43" t="s">
        <v>57</v>
      </c>
      <c r="C223" s="42">
        <v>1740815</v>
      </c>
      <c r="D223" s="42">
        <v>58.97</v>
      </c>
      <c r="E223" s="69">
        <f t="shared" si="7"/>
        <v>246.84</v>
      </c>
      <c r="G223" s="71"/>
      <c r="H223" s="71"/>
      <c r="I223" s="71"/>
      <c r="J223" s="44">
        <v>45601</v>
      </c>
      <c r="K223" s="44">
        <v>45611</v>
      </c>
      <c r="L223" s="187" t="s">
        <v>15</v>
      </c>
    </row>
    <row r="224" spans="1:13" ht="18" customHeight="1">
      <c r="A224" s="84" t="s">
        <v>103</v>
      </c>
      <c r="B224" s="85" t="s">
        <v>104</v>
      </c>
      <c r="C224" s="42">
        <v>1741943</v>
      </c>
      <c r="D224" s="42">
        <v>49.91</v>
      </c>
      <c r="E224" s="69">
        <f t="shared" si="7"/>
        <v>296.75</v>
      </c>
      <c r="F224" s="71"/>
      <c r="G224" s="71"/>
      <c r="H224" s="71"/>
      <c r="I224" s="71"/>
      <c r="J224" s="86">
        <v>45614</v>
      </c>
      <c r="K224" s="86">
        <v>45624</v>
      </c>
      <c r="L224" s="116" t="s">
        <v>15</v>
      </c>
    </row>
    <row r="225" spans="1:12" ht="18" customHeight="1">
      <c r="A225" s="102"/>
      <c r="B225" s="117"/>
      <c r="C225" s="42">
        <v>1741946</v>
      </c>
      <c r="D225" s="42">
        <v>53.1</v>
      </c>
      <c r="E225" s="69">
        <f t="shared" si="7"/>
        <v>349.85</v>
      </c>
      <c r="F225" s="71"/>
      <c r="G225" s="71"/>
      <c r="H225" s="71"/>
      <c r="I225" s="71"/>
      <c r="J225" s="118"/>
      <c r="K225" s="118"/>
      <c r="L225" s="119"/>
    </row>
    <row r="226" spans="1:12" ht="17.25" customHeight="1">
      <c r="A226" s="102"/>
      <c r="B226" s="117"/>
      <c r="C226" s="42">
        <v>1741945</v>
      </c>
      <c r="D226" s="42">
        <v>50.01</v>
      </c>
      <c r="E226" s="69">
        <f t="shared" si="7"/>
        <v>399.86</v>
      </c>
      <c r="F226" s="71"/>
      <c r="G226" s="71"/>
      <c r="H226" s="71"/>
      <c r="I226" s="71"/>
      <c r="J226" s="118"/>
      <c r="K226" s="118"/>
      <c r="L226" s="119"/>
    </row>
    <row r="227" spans="1:12" ht="16.5" customHeight="1">
      <c r="A227" s="102"/>
      <c r="B227" s="117"/>
      <c r="C227" s="42">
        <v>1741944</v>
      </c>
      <c r="D227" s="42">
        <v>69.88</v>
      </c>
      <c r="E227" s="69">
        <f t="shared" si="7"/>
        <v>469.74</v>
      </c>
      <c r="F227" s="71"/>
      <c r="G227" s="71"/>
      <c r="H227" s="71"/>
      <c r="I227" s="71"/>
      <c r="J227" s="118"/>
      <c r="K227" s="118"/>
      <c r="L227" s="119"/>
    </row>
    <row r="228" spans="1:12">
      <c r="A228" s="102"/>
      <c r="B228" s="117"/>
      <c r="C228" s="42">
        <v>1741947</v>
      </c>
      <c r="D228" s="42">
        <v>55.16</v>
      </c>
      <c r="E228" s="69">
        <f t="shared" si="7"/>
        <v>524.9</v>
      </c>
      <c r="F228" s="71"/>
      <c r="G228" s="71"/>
      <c r="H228" s="71" t="s">
        <v>105</v>
      </c>
      <c r="I228" s="71"/>
      <c r="J228" s="118"/>
      <c r="K228" s="118"/>
      <c r="L228" s="119"/>
    </row>
    <row r="229" spans="1:12">
      <c r="A229" s="102"/>
      <c r="B229" s="117"/>
      <c r="C229" s="42">
        <v>1741948</v>
      </c>
      <c r="D229" s="42">
        <v>112.98</v>
      </c>
      <c r="E229" s="69">
        <f t="shared" si="7"/>
        <v>637.88</v>
      </c>
      <c r="F229" s="71"/>
      <c r="G229" s="71"/>
      <c r="H229" s="71"/>
      <c r="I229" s="71"/>
      <c r="J229" s="118"/>
      <c r="K229" s="118"/>
      <c r="L229" s="119"/>
    </row>
    <row r="230" spans="1:12">
      <c r="A230" s="90"/>
      <c r="B230" s="91"/>
      <c r="C230" s="42">
        <v>1741949</v>
      </c>
      <c r="D230" s="42">
        <v>9.98</v>
      </c>
      <c r="E230" s="69">
        <f t="shared" si="7"/>
        <v>647.86</v>
      </c>
      <c r="F230" s="71"/>
      <c r="G230" s="71"/>
      <c r="H230" s="71"/>
      <c r="I230" s="71"/>
      <c r="J230" s="92"/>
      <c r="K230" s="92"/>
      <c r="L230" s="122"/>
    </row>
    <row r="231" spans="1:12">
      <c r="A231" s="42" t="s">
        <v>67</v>
      </c>
      <c r="B231" s="43" t="s">
        <v>106</v>
      </c>
      <c r="C231" s="42">
        <v>1742963</v>
      </c>
      <c r="D231" s="42">
        <v>113.38</v>
      </c>
      <c r="E231" s="181">
        <f t="shared" si="7"/>
        <v>761.24</v>
      </c>
      <c r="F231" s="100" t="s">
        <v>107</v>
      </c>
      <c r="G231" s="71"/>
      <c r="H231" s="71"/>
      <c r="I231" s="71"/>
      <c r="J231" s="44">
        <v>45622</v>
      </c>
      <c r="K231" s="44">
        <v>45632</v>
      </c>
      <c r="L231" s="123" t="s">
        <v>15</v>
      </c>
    </row>
    <row r="232" spans="1:12">
      <c r="A232" s="84" t="s">
        <v>72</v>
      </c>
      <c r="B232" s="85" t="s">
        <v>71</v>
      </c>
      <c r="C232" s="42">
        <v>1743142</v>
      </c>
      <c r="D232" s="42">
        <v>68.88</v>
      </c>
      <c r="E232" s="69">
        <f t="shared" si="7"/>
        <v>830.12</v>
      </c>
      <c r="F232" s="71"/>
      <c r="G232" s="71"/>
      <c r="H232" s="71"/>
      <c r="I232" s="71"/>
      <c r="J232" s="86">
        <v>45623</v>
      </c>
      <c r="K232" s="86">
        <v>45633</v>
      </c>
      <c r="L232" s="116" t="s">
        <v>15</v>
      </c>
    </row>
    <row r="233" spans="1:12">
      <c r="A233" s="90"/>
      <c r="B233" s="91"/>
      <c r="C233" s="42">
        <v>1743139</v>
      </c>
      <c r="D233" s="42">
        <v>105.2</v>
      </c>
      <c r="E233" s="69">
        <f t="shared" si="7"/>
        <v>935.32</v>
      </c>
      <c r="G233" s="71"/>
      <c r="H233" s="71"/>
      <c r="I233" s="71"/>
      <c r="J233" s="92"/>
      <c r="K233" s="92"/>
      <c r="L233" s="122"/>
    </row>
    <row r="234" spans="1:12">
      <c r="A234" s="42" t="s">
        <v>72</v>
      </c>
      <c r="B234" s="43" t="s">
        <v>74</v>
      </c>
      <c r="C234" s="42">
        <v>1745428</v>
      </c>
      <c r="D234" s="42">
        <v>89.67</v>
      </c>
      <c r="E234" s="69">
        <f t="shared" si="7"/>
        <v>1024.99</v>
      </c>
      <c r="F234" s="71" t="s">
        <v>108</v>
      </c>
      <c r="G234" s="71"/>
      <c r="H234" s="71"/>
      <c r="I234" s="71"/>
      <c r="J234" s="44">
        <v>45643</v>
      </c>
      <c r="K234" s="44">
        <v>45653</v>
      </c>
      <c r="L234" s="123" t="s">
        <v>15</v>
      </c>
    </row>
    <row r="235" spans="1:12">
      <c r="A235" s="42" t="s">
        <v>72</v>
      </c>
      <c r="B235" s="43" t="s">
        <v>109</v>
      </c>
      <c r="C235" s="42">
        <v>1746081</v>
      </c>
      <c r="D235" s="42">
        <v>60.37</v>
      </c>
      <c r="E235" s="69">
        <f t="shared" si="7"/>
        <v>1085.3599999999999</v>
      </c>
      <c r="F235" s="71"/>
      <c r="G235" s="71"/>
      <c r="H235" s="71"/>
      <c r="I235" s="71"/>
      <c r="J235" s="44">
        <v>45649</v>
      </c>
      <c r="K235" s="44">
        <v>45659</v>
      </c>
      <c r="L235" s="123" t="s">
        <v>15</v>
      </c>
    </row>
    <row r="236" spans="1:12">
      <c r="A236" s="84" t="s">
        <v>72</v>
      </c>
      <c r="B236" s="85" t="s">
        <v>110</v>
      </c>
      <c r="C236" s="42">
        <v>1746731</v>
      </c>
      <c r="D236" s="42">
        <v>99.83</v>
      </c>
      <c r="E236" s="69">
        <f t="shared" si="7"/>
        <v>1185.1899999999998</v>
      </c>
      <c r="F236" s="71"/>
      <c r="G236" s="71"/>
      <c r="H236" s="71"/>
      <c r="I236" s="71"/>
      <c r="J236" s="86">
        <v>45653</v>
      </c>
      <c r="K236" s="86">
        <v>45297</v>
      </c>
      <c r="L236" s="116" t="s">
        <v>15</v>
      </c>
    </row>
    <row r="237" spans="1:12">
      <c r="A237" s="102"/>
      <c r="B237" s="117"/>
      <c r="C237" s="42">
        <v>1746732</v>
      </c>
      <c r="D237" s="42">
        <v>99.83</v>
      </c>
      <c r="E237" s="69">
        <f t="shared" si="7"/>
        <v>1285.0199999999998</v>
      </c>
      <c r="F237" s="71"/>
      <c r="G237" s="71"/>
      <c r="H237" s="71"/>
      <c r="I237" s="71"/>
      <c r="J237" s="118"/>
      <c r="K237" s="118"/>
      <c r="L237" s="119"/>
    </row>
    <row r="238" spans="1:12" ht="18" customHeight="1">
      <c r="A238" s="102"/>
      <c r="B238" s="117"/>
      <c r="C238" s="42">
        <v>1746733</v>
      </c>
      <c r="D238" s="42">
        <v>69.88</v>
      </c>
      <c r="E238" s="69">
        <f t="shared" si="7"/>
        <v>1354.8999999999996</v>
      </c>
      <c r="F238" s="71"/>
      <c r="G238" s="71"/>
      <c r="H238" s="71"/>
      <c r="I238" s="71"/>
      <c r="J238" s="118"/>
      <c r="K238" s="118"/>
      <c r="L238" s="119"/>
    </row>
    <row r="239" spans="1:12">
      <c r="A239" s="102"/>
      <c r="B239" s="117"/>
      <c r="C239" s="42">
        <v>1746734</v>
      </c>
      <c r="D239" s="42">
        <v>40.83</v>
      </c>
      <c r="E239" s="69">
        <f t="shared" si="7"/>
        <v>1395.7299999999996</v>
      </c>
      <c r="F239" s="71"/>
      <c r="G239" s="71"/>
      <c r="H239" s="71"/>
      <c r="I239" s="71"/>
      <c r="J239" s="118"/>
      <c r="K239" s="118"/>
      <c r="L239" s="119"/>
    </row>
    <row r="240" spans="1:12" ht="18" customHeight="1">
      <c r="A240" s="90"/>
      <c r="B240" s="91"/>
      <c r="C240" s="42">
        <v>1746735</v>
      </c>
      <c r="D240" s="42">
        <v>88.95</v>
      </c>
      <c r="E240" s="69">
        <f t="shared" si="7"/>
        <v>1484.6799999999996</v>
      </c>
      <c r="F240" s="71"/>
      <c r="G240" s="71"/>
      <c r="H240" s="71"/>
      <c r="I240" s="71"/>
      <c r="J240" s="92"/>
      <c r="K240" s="92"/>
      <c r="L240" s="122"/>
    </row>
    <row r="241" spans="1:12">
      <c r="A241" s="84" t="s">
        <v>72</v>
      </c>
      <c r="B241" s="85" t="s">
        <v>111</v>
      </c>
      <c r="C241" s="42">
        <v>1747570</v>
      </c>
      <c r="D241" s="42">
        <v>69.88</v>
      </c>
      <c r="E241" s="69">
        <f t="shared" si="7"/>
        <v>1554.5599999999995</v>
      </c>
      <c r="F241" s="138"/>
      <c r="G241" s="138"/>
      <c r="H241" s="138"/>
      <c r="I241" s="138"/>
      <c r="J241" s="144">
        <v>45663</v>
      </c>
      <c r="K241" s="144">
        <v>45673</v>
      </c>
      <c r="L241" s="145" t="s">
        <v>15</v>
      </c>
    </row>
    <row r="242" spans="1:12">
      <c r="A242" s="102"/>
      <c r="B242" s="117"/>
      <c r="C242" s="42">
        <v>1747569</v>
      </c>
      <c r="D242" s="42">
        <v>49.91</v>
      </c>
      <c r="E242" s="69">
        <f t="shared" si="7"/>
        <v>1604.4699999999996</v>
      </c>
      <c r="F242" s="138"/>
      <c r="G242" s="138"/>
      <c r="H242" s="138"/>
      <c r="I242" s="138"/>
      <c r="J242" s="153"/>
      <c r="K242" s="153"/>
      <c r="L242" s="154"/>
    </row>
    <row r="243" spans="1:12">
      <c r="A243" s="102"/>
      <c r="B243" s="117"/>
      <c r="C243" s="42">
        <v>1747568</v>
      </c>
      <c r="D243" s="42">
        <v>51.31</v>
      </c>
      <c r="E243" s="69">
        <f t="shared" si="7"/>
        <v>1655.7799999999995</v>
      </c>
      <c r="F243" s="138"/>
      <c r="G243" s="138"/>
      <c r="H243" s="138"/>
      <c r="I243" s="138"/>
      <c r="J243" s="153"/>
      <c r="K243" s="153"/>
      <c r="L243" s="154"/>
    </row>
    <row r="244" spans="1:12">
      <c r="A244" s="102"/>
      <c r="B244" s="117"/>
      <c r="C244" s="42">
        <v>1747567</v>
      </c>
      <c r="D244" s="42">
        <v>49.91</v>
      </c>
      <c r="E244" s="69">
        <f t="shared" si="7"/>
        <v>1705.6899999999996</v>
      </c>
      <c r="F244" s="138"/>
      <c r="G244" s="138"/>
      <c r="H244" s="138"/>
      <c r="I244" s="138"/>
      <c r="J244" s="153"/>
      <c r="K244" s="153"/>
      <c r="L244" s="154"/>
    </row>
    <row r="245" spans="1:12">
      <c r="A245" s="90"/>
      <c r="B245" s="91"/>
      <c r="C245" s="42">
        <v>1747550</v>
      </c>
      <c r="D245" s="42">
        <v>22.58</v>
      </c>
      <c r="E245" s="69">
        <f t="shared" si="7"/>
        <v>1728.2699999999995</v>
      </c>
      <c r="F245" s="138"/>
      <c r="G245" s="138"/>
      <c r="H245" s="138"/>
      <c r="I245" s="138"/>
      <c r="J245" s="149"/>
      <c r="K245" s="149"/>
      <c r="L245" s="150"/>
    </row>
    <row r="246" spans="1:12">
      <c r="A246" s="84" t="s">
        <v>72</v>
      </c>
      <c r="B246" s="85" t="s">
        <v>112</v>
      </c>
      <c r="C246" s="42">
        <v>1747678</v>
      </c>
      <c r="D246" s="42">
        <v>51.91</v>
      </c>
      <c r="E246" s="69">
        <f t="shared" si="7"/>
        <v>1780.1799999999996</v>
      </c>
      <c r="F246" s="71"/>
      <c r="G246" s="71"/>
      <c r="H246" s="71"/>
      <c r="I246" s="71"/>
      <c r="J246" s="86">
        <v>45665</v>
      </c>
      <c r="K246" s="86">
        <v>45675</v>
      </c>
      <c r="L246" s="116" t="s">
        <v>15</v>
      </c>
    </row>
    <row r="247" spans="1:12">
      <c r="A247" s="102"/>
      <c r="B247" s="117"/>
      <c r="C247" s="42">
        <v>1747677</v>
      </c>
      <c r="D247" s="42">
        <v>104.21</v>
      </c>
      <c r="E247" s="69">
        <f t="shared" si="7"/>
        <v>1884.3899999999996</v>
      </c>
      <c r="F247" s="71"/>
      <c r="G247" s="71"/>
      <c r="H247" s="71"/>
      <c r="I247" s="71"/>
      <c r="J247" s="118"/>
      <c r="K247" s="118"/>
      <c r="L247" s="119"/>
    </row>
    <row r="248" spans="1:12" ht="17.25" customHeight="1">
      <c r="A248" s="90"/>
      <c r="B248" s="91"/>
      <c r="C248" s="42">
        <v>1747675</v>
      </c>
      <c r="D248" s="42">
        <v>104.81</v>
      </c>
      <c r="E248" s="69">
        <f t="shared" si="7"/>
        <v>1989.1999999999996</v>
      </c>
      <c r="F248" s="71"/>
      <c r="G248" s="71"/>
      <c r="H248" s="71"/>
      <c r="I248" s="71"/>
      <c r="J248" s="92"/>
      <c r="K248" s="92"/>
      <c r="L248" s="122"/>
    </row>
    <row r="249" spans="1:12">
      <c r="A249" s="84" t="s">
        <v>67</v>
      </c>
      <c r="B249" s="85" t="s">
        <v>113</v>
      </c>
      <c r="C249" s="42">
        <v>1747790</v>
      </c>
      <c r="D249" s="42">
        <v>69.88</v>
      </c>
      <c r="E249" s="69">
        <f t="shared" si="7"/>
        <v>2059.0799999999995</v>
      </c>
      <c r="F249" s="71"/>
      <c r="G249" s="71"/>
      <c r="H249" s="71"/>
      <c r="I249" s="71"/>
      <c r="J249" s="86">
        <v>45666</v>
      </c>
      <c r="K249" s="86">
        <v>45676</v>
      </c>
      <c r="L249" s="116" t="s">
        <v>15</v>
      </c>
    </row>
    <row r="250" spans="1:12">
      <c r="A250" s="102"/>
      <c r="B250" s="117"/>
      <c r="C250" s="42">
        <v>1747791</v>
      </c>
      <c r="D250" s="42">
        <v>4.99</v>
      </c>
      <c r="E250" s="69">
        <f t="shared" si="7"/>
        <v>2064.0699999999993</v>
      </c>
      <c r="F250" s="71"/>
      <c r="G250" s="71"/>
      <c r="H250" s="71"/>
      <c r="I250" s="71"/>
      <c r="J250" s="118"/>
      <c r="K250" s="118"/>
      <c r="L250" s="119"/>
    </row>
    <row r="251" spans="1:12">
      <c r="A251" s="90"/>
      <c r="B251" s="91"/>
      <c r="C251" s="42">
        <v>1747793</v>
      </c>
      <c r="D251" s="42">
        <v>51.81</v>
      </c>
      <c r="E251" s="69">
        <f t="shared" si="7"/>
        <v>2115.8799999999992</v>
      </c>
      <c r="F251" s="71"/>
      <c r="G251" s="71"/>
      <c r="H251" s="71"/>
      <c r="I251" s="71"/>
      <c r="J251" s="92"/>
      <c r="K251" s="92"/>
      <c r="L251" s="122"/>
    </row>
    <row r="252" spans="1:12" ht="16.5" customHeight="1">
      <c r="A252" s="84" t="s">
        <v>72</v>
      </c>
      <c r="B252" s="85" t="s">
        <v>26</v>
      </c>
      <c r="C252" s="42">
        <v>1747888</v>
      </c>
      <c r="D252" s="42">
        <v>51.8</v>
      </c>
      <c r="E252" s="69">
        <f t="shared" si="7"/>
        <v>2167.6799999999994</v>
      </c>
      <c r="F252" s="71"/>
      <c r="G252" s="71"/>
      <c r="H252" s="71"/>
      <c r="I252" s="71"/>
      <c r="J252" s="86">
        <v>45667</v>
      </c>
      <c r="K252" s="86">
        <v>45677</v>
      </c>
      <c r="L252" s="116" t="s">
        <v>15</v>
      </c>
    </row>
    <row r="253" spans="1:12">
      <c r="A253" s="90"/>
      <c r="B253" s="91"/>
      <c r="C253" s="42">
        <v>1747889</v>
      </c>
      <c r="D253" s="42">
        <v>51.41</v>
      </c>
      <c r="E253" s="69">
        <f t="shared" si="7"/>
        <v>2219.0899999999992</v>
      </c>
      <c r="F253" s="71"/>
      <c r="G253" s="71"/>
      <c r="H253" s="71"/>
      <c r="I253" s="71"/>
      <c r="J253" s="92"/>
      <c r="K253" s="92"/>
      <c r="L253" s="122"/>
    </row>
    <row r="254" spans="1:12">
      <c r="A254" s="84" t="s">
        <v>72</v>
      </c>
      <c r="B254" s="85" t="s">
        <v>114</v>
      </c>
      <c r="C254" s="42">
        <v>1750410</v>
      </c>
      <c r="D254" s="42">
        <v>74.430000000000007</v>
      </c>
      <c r="E254" s="69">
        <f t="shared" si="7"/>
        <v>2293.5199999999991</v>
      </c>
      <c r="F254" s="71"/>
      <c r="G254" s="71"/>
      <c r="H254" s="71"/>
      <c r="I254" s="71"/>
      <c r="J254" s="86">
        <v>45694</v>
      </c>
      <c r="K254" s="86">
        <v>45704</v>
      </c>
      <c r="L254" s="116" t="s">
        <v>15</v>
      </c>
    </row>
    <row r="255" spans="1:12">
      <c r="A255" s="90"/>
      <c r="B255" s="91"/>
      <c r="C255" s="42">
        <v>1750411</v>
      </c>
      <c r="D255" s="42">
        <v>51.41</v>
      </c>
      <c r="E255" s="181">
        <f t="shared" si="7"/>
        <v>2344.9299999999989</v>
      </c>
      <c r="F255" s="33" t="s">
        <v>78</v>
      </c>
      <c r="G255" s="95"/>
      <c r="H255" s="34"/>
      <c r="I255" s="71"/>
      <c r="J255" s="92"/>
      <c r="K255" s="92"/>
      <c r="L255" s="122"/>
    </row>
    <row r="256" spans="1:12">
      <c r="A256" s="131" t="s">
        <v>72</v>
      </c>
      <c r="B256" s="132" t="s">
        <v>77</v>
      </c>
      <c r="C256" s="42">
        <v>1750484</v>
      </c>
      <c r="D256" s="42">
        <v>49.91</v>
      </c>
      <c r="E256" s="69">
        <f t="shared" si="7"/>
        <v>2394.8399999999988</v>
      </c>
      <c r="F256" s="71"/>
      <c r="G256" s="71"/>
      <c r="H256" s="71"/>
      <c r="I256" s="71"/>
      <c r="J256" s="126">
        <v>45695</v>
      </c>
      <c r="K256" s="126">
        <v>45705</v>
      </c>
      <c r="L256" s="116" t="s">
        <v>34</v>
      </c>
    </row>
    <row r="257" spans="1:12">
      <c r="A257" s="84" t="s">
        <v>72</v>
      </c>
      <c r="B257" s="85" t="s">
        <v>94</v>
      </c>
      <c r="C257" s="42">
        <v>1751996</v>
      </c>
      <c r="D257" s="42">
        <v>63.75</v>
      </c>
      <c r="E257" s="69">
        <f t="shared" si="7"/>
        <v>2458.5899999999988</v>
      </c>
      <c r="F257" s="71"/>
      <c r="G257" s="71"/>
      <c r="H257" s="71"/>
      <c r="I257" s="71"/>
      <c r="J257" s="86">
        <v>45719</v>
      </c>
      <c r="K257" s="86">
        <v>45724</v>
      </c>
      <c r="L257" s="119"/>
    </row>
    <row r="258" spans="1:12">
      <c r="A258" s="90"/>
      <c r="B258" s="91"/>
      <c r="C258" s="42">
        <v>1751997</v>
      </c>
      <c r="D258" s="42">
        <v>50.71</v>
      </c>
      <c r="E258" s="69">
        <f t="shared" si="7"/>
        <v>2509.2999999999988</v>
      </c>
      <c r="F258" s="71"/>
      <c r="G258" s="71"/>
      <c r="H258" s="71"/>
      <c r="I258" s="71"/>
      <c r="J258" s="92"/>
      <c r="K258" s="92"/>
      <c r="L258" s="119"/>
    </row>
    <row r="259" spans="1:12" ht="15.75" customHeight="1">
      <c r="A259" s="131" t="s">
        <v>72</v>
      </c>
      <c r="B259" s="132" t="s">
        <v>95</v>
      </c>
      <c r="C259" s="42">
        <v>17521103</v>
      </c>
      <c r="D259" s="42">
        <v>51.01</v>
      </c>
      <c r="E259" s="69">
        <f t="shared" si="7"/>
        <v>2560.309999999999</v>
      </c>
      <c r="F259" s="71"/>
      <c r="G259" s="71"/>
      <c r="H259" s="71"/>
      <c r="I259" s="71"/>
      <c r="J259" s="126">
        <v>45720</v>
      </c>
      <c r="K259" s="126">
        <v>45725</v>
      </c>
      <c r="L259" s="122"/>
    </row>
    <row r="260" spans="1:12">
      <c r="A260" s="42"/>
      <c r="B260" s="42"/>
      <c r="C260" s="42"/>
      <c r="D260" s="42"/>
      <c r="E260" s="69">
        <f t="shared" si="7"/>
        <v>2560.309999999999</v>
      </c>
      <c r="F260" s="26"/>
      <c r="G260" s="26"/>
      <c r="H260" s="26"/>
      <c r="I260" s="26"/>
      <c r="J260" s="14"/>
      <c r="K260" s="14"/>
      <c r="L260" s="20"/>
    </row>
    <row r="261" spans="1:12">
      <c r="A261" s="188" t="s">
        <v>35</v>
      </c>
      <c r="B261" s="189"/>
      <c r="C261" s="26"/>
      <c r="D261" s="26"/>
      <c r="E261" s="181">
        <f t="shared" si="7"/>
        <v>2560.309999999999</v>
      </c>
      <c r="F261" s="26"/>
      <c r="G261" s="26"/>
      <c r="H261" s="26"/>
      <c r="I261" s="26"/>
      <c r="J261" s="26"/>
      <c r="K261" s="26"/>
      <c r="L261" s="26"/>
    </row>
    <row r="262" spans="1:12">
      <c r="A262" s="190" t="s">
        <v>65</v>
      </c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2"/>
    </row>
    <row r="263" spans="1:12">
      <c r="A263" s="190" t="s">
        <v>115</v>
      </c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2"/>
    </row>
    <row r="264" spans="1:12" ht="36.75">
      <c r="A264" s="4" t="s">
        <v>2</v>
      </c>
      <c r="B264" s="5" t="s">
        <v>3</v>
      </c>
      <c r="C264" s="6" t="s">
        <v>4</v>
      </c>
      <c r="D264" s="7" t="s">
        <v>5</v>
      </c>
      <c r="E264" s="5" t="s">
        <v>6</v>
      </c>
      <c r="F264" s="8" t="s">
        <v>7</v>
      </c>
      <c r="G264" s="9" t="s">
        <v>8</v>
      </c>
      <c r="H264" s="9"/>
      <c r="I264" s="6" t="s">
        <v>9</v>
      </c>
      <c r="J264" s="5" t="s">
        <v>10</v>
      </c>
      <c r="K264" s="5" t="s">
        <v>11</v>
      </c>
      <c r="L264" s="7" t="s">
        <v>12</v>
      </c>
    </row>
    <row r="265" spans="1:12">
      <c r="A265" s="84" t="s">
        <v>103</v>
      </c>
      <c r="B265" s="85" t="s">
        <v>116</v>
      </c>
      <c r="C265" s="42">
        <v>1742515</v>
      </c>
      <c r="D265" s="42">
        <v>105.85</v>
      </c>
      <c r="E265" s="69">
        <v>105.85</v>
      </c>
      <c r="F265" s="71"/>
      <c r="G265" s="71"/>
      <c r="H265" s="71"/>
      <c r="I265" s="71"/>
      <c r="J265" s="86">
        <v>45618</v>
      </c>
      <c r="K265" s="86">
        <v>45628</v>
      </c>
      <c r="L265" s="116" t="s">
        <v>15</v>
      </c>
    </row>
    <row r="266" spans="1:12" ht="14.25" customHeight="1">
      <c r="A266" s="102"/>
      <c r="B266" s="117"/>
      <c r="C266" s="42">
        <v>1742516</v>
      </c>
      <c r="D266" s="42">
        <v>18.739999999999998</v>
      </c>
      <c r="E266" s="69">
        <f>E265+D266</f>
        <v>124.58999999999999</v>
      </c>
      <c r="F266" s="71"/>
      <c r="G266" s="71"/>
      <c r="H266" s="71"/>
      <c r="I266" s="71"/>
      <c r="J266" s="118"/>
      <c r="K266" s="118"/>
      <c r="L266" s="119"/>
    </row>
    <row r="267" spans="1:12">
      <c r="A267" s="90"/>
      <c r="B267" s="91"/>
      <c r="C267" s="42">
        <v>1742517</v>
      </c>
      <c r="D267" s="42">
        <v>105.6</v>
      </c>
      <c r="E267" s="69">
        <f t="shared" ref="E267:E272" si="8">E266+D267</f>
        <v>230.19</v>
      </c>
      <c r="F267" s="71"/>
      <c r="G267" s="71"/>
      <c r="H267" s="71"/>
      <c r="I267" s="71"/>
      <c r="J267" s="92"/>
      <c r="K267" s="92"/>
      <c r="L267" s="122"/>
    </row>
    <row r="268" spans="1:12">
      <c r="A268" s="84" t="s">
        <v>67</v>
      </c>
      <c r="B268" s="85" t="s">
        <v>117</v>
      </c>
      <c r="C268" s="42">
        <v>1742778</v>
      </c>
      <c r="D268" s="42">
        <v>13.64</v>
      </c>
      <c r="E268" s="69">
        <f t="shared" si="8"/>
        <v>243.82999999999998</v>
      </c>
      <c r="F268" s="71"/>
      <c r="G268" s="71"/>
      <c r="H268" s="71"/>
      <c r="I268" s="71"/>
      <c r="J268" s="86">
        <v>45621</v>
      </c>
      <c r="K268" s="86">
        <v>45631</v>
      </c>
      <c r="L268" s="116" t="s">
        <v>15</v>
      </c>
    </row>
    <row r="269" spans="1:12">
      <c r="A269" s="102"/>
      <c r="B269" s="117"/>
      <c r="C269" s="42">
        <v>1742776</v>
      </c>
      <c r="D269" s="42">
        <v>105.59</v>
      </c>
      <c r="E269" s="69">
        <f t="shared" si="8"/>
        <v>349.41999999999996</v>
      </c>
      <c r="F269" s="26"/>
      <c r="G269" s="26"/>
      <c r="H269" s="26"/>
      <c r="I269" s="26"/>
      <c r="J269" s="118"/>
      <c r="K269" s="118"/>
      <c r="L269" s="119"/>
    </row>
    <row r="270" spans="1:12">
      <c r="A270" s="102"/>
      <c r="B270" s="117"/>
      <c r="C270" s="42">
        <v>1742777</v>
      </c>
      <c r="D270" s="42">
        <v>30.49</v>
      </c>
      <c r="E270" s="69">
        <f t="shared" si="8"/>
        <v>379.90999999999997</v>
      </c>
      <c r="F270" s="26"/>
      <c r="G270" s="26"/>
      <c r="H270" s="26"/>
      <c r="I270" s="26"/>
      <c r="J270" s="118"/>
      <c r="K270" s="118"/>
      <c r="L270" s="119"/>
    </row>
    <row r="271" spans="1:12">
      <c r="A271" s="90"/>
      <c r="B271" s="91"/>
      <c r="C271" s="42">
        <v>1742775</v>
      </c>
      <c r="D271" s="42">
        <v>103.6</v>
      </c>
      <c r="E271" s="69">
        <f>E270+D271</f>
        <v>483.51</v>
      </c>
      <c r="F271" s="26"/>
      <c r="G271" s="26"/>
      <c r="H271" s="26"/>
      <c r="I271" s="26"/>
      <c r="J271" s="92"/>
      <c r="K271" s="92"/>
      <c r="L271" s="122"/>
    </row>
    <row r="272" spans="1:12">
      <c r="A272" s="42"/>
      <c r="B272" s="42"/>
      <c r="C272" s="42"/>
      <c r="D272" s="42"/>
      <c r="E272" s="69">
        <f t="shared" si="8"/>
        <v>483.51</v>
      </c>
      <c r="F272" s="26"/>
      <c r="G272" s="26"/>
      <c r="H272" s="26"/>
      <c r="I272" s="26"/>
      <c r="J272" s="14"/>
      <c r="K272" s="14"/>
      <c r="L272" s="20"/>
    </row>
    <row r="273" spans="1:12">
      <c r="A273" s="42"/>
      <c r="B273" s="42"/>
      <c r="C273" s="42"/>
      <c r="D273" s="42"/>
      <c r="E273" s="69">
        <f>E272+D273</f>
        <v>483.51</v>
      </c>
      <c r="F273" s="26"/>
      <c r="G273" s="26"/>
      <c r="H273" s="26"/>
      <c r="I273" s="26"/>
      <c r="J273" s="14"/>
      <c r="K273" s="14"/>
      <c r="L273" s="20"/>
    </row>
    <row r="274" spans="1:12">
      <c r="A274" s="188" t="s">
        <v>35</v>
      </c>
      <c r="B274" s="189"/>
      <c r="C274" s="13"/>
      <c r="D274" s="13"/>
      <c r="E274" s="181">
        <f>E273+D274</f>
        <v>483.51</v>
      </c>
      <c r="F274" s="26"/>
      <c r="G274" s="26"/>
      <c r="H274" s="26"/>
      <c r="I274" s="26"/>
      <c r="J274" s="26"/>
      <c r="K274" s="26"/>
      <c r="L274" s="26"/>
    </row>
    <row r="275" spans="1:12" ht="15.75" customHeight="1">
      <c r="A275" s="133"/>
      <c r="B275" s="133"/>
      <c r="C275" s="133"/>
      <c r="D275" s="133"/>
      <c r="E275" s="50"/>
      <c r="F275" s="41"/>
      <c r="G275" s="41"/>
      <c r="H275" s="41"/>
      <c r="I275" s="41"/>
      <c r="J275" s="41"/>
      <c r="K275" s="41"/>
      <c r="L275" s="41"/>
    </row>
    <row r="276" spans="1:12" ht="18.75">
      <c r="B276" s="133"/>
      <c r="C276" s="133"/>
      <c r="D276" s="133"/>
      <c r="E276" s="50"/>
      <c r="F276" s="41"/>
      <c r="G276" s="41"/>
      <c r="H276" s="41"/>
      <c r="I276" s="193"/>
      <c r="J276" s="193"/>
      <c r="K276" s="193"/>
      <c r="L276" s="193"/>
    </row>
    <row r="277" spans="1:12" ht="18.75">
      <c r="B277" s="194"/>
      <c r="F277" s="195"/>
      <c r="G277" s="196"/>
      <c r="H277" s="196"/>
      <c r="I277" s="193"/>
      <c r="J277" s="193"/>
      <c r="K277" s="193" t="s">
        <v>118</v>
      </c>
      <c r="L277" s="193"/>
    </row>
    <row r="278" spans="1:12" ht="18.75">
      <c r="B278" s="194"/>
      <c r="C278" s="197" t="s">
        <v>119</v>
      </c>
      <c r="D278" s="197" t="s">
        <v>120</v>
      </c>
      <c r="E278" s="197" t="s">
        <v>121</v>
      </c>
      <c r="F278" s="198" t="s">
        <v>35</v>
      </c>
      <c r="G278" s="196"/>
      <c r="H278" s="196"/>
      <c r="I278" s="193"/>
      <c r="J278" s="193"/>
      <c r="K278" s="193"/>
      <c r="L278" s="193"/>
    </row>
    <row r="279" spans="1:12" ht="18.75">
      <c r="B279" s="194"/>
      <c r="C279" s="199" t="s">
        <v>122</v>
      </c>
      <c r="D279" s="200">
        <f>E137+E213+E261+E274</f>
        <v>8355.0199999999986</v>
      </c>
      <c r="E279" s="201">
        <v>4517.8100000000004</v>
      </c>
      <c r="F279" s="202">
        <f>D279+E279</f>
        <v>12872.829999999998</v>
      </c>
      <c r="G279" s="196"/>
      <c r="H279" s="196"/>
      <c r="I279" s="193"/>
      <c r="J279" s="193"/>
      <c r="K279" s="193"/>
      <c r="L279" s="193" t="s">
        <v>123</v>
      </c>
    </row>
    <row r="280" spans="1:12" ht="18.75">
      <c r="B280" s="194"/>
      <c r="C280" s="199" t="s">
        <v>124</v>
      </c>
      <c r="D280" s="199">
        <f>E16+E45+E58+E69+E81+E112</f>
        <v>4623.7699999999986</v>
      </c>
      <c r="E280" s="203"/>
      <c r="F280" s="202">
        <f>D280+E280</f>
        <v>4623.7699999999986</v>
      </c>
      <c r="G280" s="196"/>
      <c r="H280" s="196"/>
    </row>
    <row r="281" spans="1:12" ht="18.75">
      <c r="B281" s="194"/>
      <c r="C281" s="204" t="s">
        <v>35</v>
      </c>
      <c r="D281" s="204">
        <f>D279+D280</f>
        <v>12978.789999999997</v>
      </c>
      <c r="E281" s="201">
        <v>4517.8100000000004</v>
      </c>
      <c r="F281" s="205">
        <f>D281+E281</f>
        <v>17496.599999999999</v>
      </c>
      <c r="G281" s="193"/>
      <c r="H281" s="196"/>
    </row>
    <row r="282" spans="1:12" ht="18.75">
      <c r="B282" s="193"/>
    </row>
    <row r="283" spans="1:12" ht="18.75">
      <c r="B283" s="194"/>
    </row>
    <row r="284" spans="1:12" ht="18" customHeight="1"/>
    <row r="285" spans="1:12" ht="21" customHeight="1">
      <c r="F285" s="206"/>
    </row>
    <row r="286" spans="1:12">
      <c r="E286" s="207"/>
    </row>
    <row r="287" spans="1:12">
      <c r="E287" s="207"/>
    </row>
    <row r="295" ht="19.5" customHeight="1"/>
    <row r="304" ht="16.5" customHeight="1"/>
    <row r="305" spans="15:15" ht="14.25" customHeight="1"/>
    <row r="306" spans="15:15">
      <c r="O306" s="40"/>
    </row>
    <row r="307" spans="15:15">
      <c r="O307" s="40"/>
    </row>
    <row r="308" spans="15:15">
      <c r="O308" s="40"/>
    </row>
    <row r="309" spans="15:15">
      <c r="O309" s="40"/>
    </row>
    <row r="319" spans="15:15" ht="21" customHeight="1"/>
    <row r="321" ht="24.75" customHeight="1"/>
    <row r="322" ht="19.5" customHeight="1"/>
    <row r="337" ht="19.5" customHeight="1"/>
    <row r="345" ht="15" customHeight="1"/>
    <row r="346" ht="15" customHeight="1"/>
    <row r="347" ht="20.25" customHeight="1"/>
    <row r="355" ht="22.5" customHeight="1"/>
    <row r="356" ht="20.25" customHeight="1"/>
    <row r="357" ht="14.45" hidden="1" customHeight="1"/>
    <row r="359" ht="15" customHeight="1"/>
    <row r="360" ht="15" customHeight="1"/>
    <row r="361" ht="19.5" customHeight="1"/>
    <row r="390" ht="17.25" customHeight="1"/>
    <row r="391" ht="16.5" customHeight="1"/>
    <row r="442" ht="0.6" customHeight="1"/>
    <row r="443" ht="15" customHeight="1"/>
    <row r="444" ht="15" customHeight="1"/>
    <row r="445" ht="12.75" customHeight="1"/>
    <row r="469" spans="16:16" ht="15" customHeight="1"/>
    <row r="470" spans="16:16" ht="4.9000000000000004" customHeight="1"/>
    <row r="471" spans="16:16" ht="31.15" customHeight="1"/>
    <row r="477" spans="16:16">
      <c r="P477" s="87"/>
    </row>
    <row r="478" spans="16:16">
      <c r="P478" s="87"/>
    </row>
    <row r="509" spans="15:15">
      <c r="O509" s="87"/>
    </row>
    <row r="510" spans="15:15">
      <c r="O510" s="87"/>
    </row>
    <row r="518" spans="14:14">
      <c r="N518" s="87"/>
    </row>
    <row r="519" spans="14:14">
      <c r="N519" s="87"/>
    </row>
    <row r="643" ht="15.75" customHeight="1"/>
    <row r="644" ht="21.75" customHeight="1"/>
    <row r="645" ht="21.75" customHeight="1"/>
    <row r="646" ht="16.5" customHeight="1"/>
    <row r="689" ht="18" customHeight="1"/>
    <row r="694" ht="18.75" customHeight="1"/>
    <row r="699" ht="19.5" customHeight="1"/>
    <row r="710" ht="24" customHeight="1"/>
    <row r="797" ht="15" customHeight="1"/>
    <row r="798" ht="15" customHeight="1"/>
  </sheetData>
  <mergeCells count="294">
    <mergeCell ref="A268:A271"/>
    <mergeCell ref="B268:B271"/>
    <mergeCell ref="J268:J271"/>
    <mergeCell ref="K268:K271"/>
    <mergeCell ref="L268:L271"/>
    <mergeCell ref="A274:B274"/>
    <mergeCell ref="A261:B261"/>
    <mergeCell ref="A262:L262"/>
    <mergeCell ref="A263:L263"/>
    <mergeCell ref="G264:H264"/>
    <mergeCell ref="A265:A267"/>
    <mergeCell ref="B265:B267"/>
    <mergeCell ref="J265:J267"/>
    <mergeCell ref="K265:K267"/>
    <mergeCell ref="L265:L267"/>
    <mergeCell ref="F255:H255"/>
    <mergeCell ref="L256:L259"/>
    <mergeCell ref="A257:A258"/>
    <mergeCell ref="B257:B258"/>
    <mergeCell ref="J257:J258"/>
    <mergeCell ref="K257:K258"/>
    <mergeCell ref="A252:A253"/>
    <mergeCell ref="B252:B253"/>
    <mergeCell ref="J252:J253"/>
    <mergeCell ref="K252:K253"/>
    <mergeCell ref="L252:L253"/>
    <mergeCell ref="A254:A255"/>
    <mergeCell ref="B254:B255"/>
    <mergeCell ref="J254:J255"/>
    <mergeCell ref="K254:K255"/>
    <mergeCell ref="L254:L255"/>
    <mergeCell ref="A246:A248"/>
    <mergeCell ref="B246:B248"/>
    <mergeCell ref="J246:J248"/>
    <mergeCell ref="K246:K248"/>
    <mergeCell ref="L246:L248"/>
    <mergeCell ref="A249:A251"/>
    <mergeCell ref="B249:B251"/>
    <mergeCell ref="J249:J251"/>
    <mergeCell ref="K249:K251"/>
    <mergeCell ref="L249:L251"/>
    <mergeCell ref="A236:A240"/>
    <mergeCell ref="B236:B240"/>
    <mergeCell ref="J236:J240"/>
    <mergeCell ref="K236:K240"/>
    <mergeCell ref="L236:L240"/>
    <mergeCell ref="A241:A245"/>
    <mergeCell ref="B241:B245"/>
    <mergeCell ref="J241:J245"/>
    <mergeCell ref="K241:K245"/>
    <mergeCell ref="L241:L245"/>
    <mergeCell ref="A224:A230"/>
    <mergeCell ref="B224:B230"/>
    <mergeCell ref="J224:J230"/>
    <mergeCell ref="K224:K230"/>
    <mergeCell ref="L224:L230"/>
    <mergeCell ref="A232:A233"/>
    <mergeCell ref="B232:B233"/>
    <mergeCell ref="J232:J233"/>
    <mergeCell ref="K232:K233"/>
    <mergeCell ref="L232:L233"/>
    <mergeCell ref="A215:L215"/>
    <mergeCell ref="A216:L216"/>
    <mergeCell ref="G217:H217"/>
    <mergeCell ref="L218:L219"/>
    <mergeCell ref="A220:A222"/>
    <mergeCell ref="B220:B222"/>
    <mergeCell ref="J220:J222"/>
    <mergeCell ref="K220:K222"/>
    <mergeCell ref="L220:L222"/>
    <mergeCell ref="A206:A208"/>
    <mergeCell ref="B206:B208"/>
    <mergeCell ref="J206:J208"/>
    <mergeCell ref="K206:K208"/>
    <mergeCell ref="L206:L209"/>
    <mergeCell ref="F209:H209"/>
    <mergeCell ref="L199:L205"/>
    <mergeCell ref="A202:A205"/>
    <mergeCell ref="B202:B205"/>
    <mergeCell ref="J202:J205"/>
    <mergeCell ref="K202:K205"/>
    <mergeCell ref="F205:H205"/>
    <mergeCell ref="A194:A198"/>
    <mergeCell ref="B194:B198"/>
    <mergeCell ref="J194:J198"/>
    <mergeCell ref="K194:K198"/>
    <mergeCell ref="L194:L198"/>
    <mergeCell ref="F196:G196"/>
    <mergeCell ref="A186:A191"/>
    <mergeCell ref="B186:B191"/>
    <mergeCell ref="J186:J191"/>
    <mergeCell ref="K186:K191"/>
    <mergeCell ref="L186:L191"/>
    <mergeCell ref="A192:A193"/>
    <mergeCell ref="B192:B193"/>
    <mergeCell ref="J192:J193"/>
    <mergeCell ref="K192:K193"/>
    <mergeCell ref="L192:L193"/>
    <mergeCell ref="A174:A179"/>
    <mergeCell ref="B174:B179"/>
    <mergeCell ref="J174:J179"/>
    <mergeCell ref="K174:K179"/>
    <mergeCell ref="L174:L179"/>
    <mergeCell ref="A180:A185"/>
    <mergeCell ref="B180:B185"/>
    <mergeCell ref="J180:J185"/>
    <mergeCell ref="K180:K185"/>
    <mergeCell ref="L180:L185"/>
    <mergeCell ref="A159:A168"/>
    <mergeCell ref="B159:B168"/>
    <mergeCell ref="J159:J168"/>
    <mergeCell ref="K159:K168"/>
    <mergeCell ref="L159:L168"/>
    <mergeCell ref="A169:A173"/>
    <mergeCell ref="B169:B173"/>
    <mergeCell ref="J169:J173"/>
    <mergeCell ref="K169:K173"/>
    <mergeCell ref="L169:L173"/>
    <mergeCell ref="A152:A153"/>
    <mergeCell ref="B152:B153"/>
    <mergeCell ref="J152:J153"/>
    <mergeCell ref="K152:K153"/>
    <mergeCell ref="L152:L153"/>
    <mergeCell ref="A156:A158"/>
    <mergeCell ref="B156:B158"/>
    <mergeCell ref="J156:J158"/>
    <mergeCell ref="K156:K158"/>
    <mergeCell ref="L156:L158"/>
    <mergeCell ref="A144:A148"/>
    <mergeCell ref="B144:B148"/>
    <mergeCell ref="J144:J148"/>
    <mergeCell ref="K144:K148"/>
    <mergeCell ref="L144:L148"/>
    <mergeCell ref="A149:A150"/>
    <mergeCell ref="B149:B150"/>
    <mergeCell ref="J149:J150"/>
    <mergeCell ref="K149:K150"/>
    <mergeCell ref="L149:L150"/>
    <mergeCell ref="A139:L139"/>
    <mergeCell ref="A140:L140"/>
    <mergeCell ref="G141:H141"/>
    <mergeCell ref="A142:A143"/>
    <mergeCell ref="B142:B143"/>
    <mergeCell ref="J142:J143"/>
    <mergeCell ref="K142:K143"/>
    <mergeCell ref="L142:L143"/>
    <mergeCell ref="A131:A132"/>
    <mergeCell ref="B131:B132"/>
    <mergeCell ref="J131:J132"/>
    <mergeCell ref="K131:K132"/>
    <mergeCell ref="L131:L132"/>
    <mergeCell ref="F132:I132"/>
    <mergeCell ref="A124:A125"/>
    <mergeCell ref="B124:B125"/>
    <mergeCell ref="J124:J125"/>
    <mergeCell ref="K124:K125"/>
    <mergeCell ref="L124:L125"/>
    <mergeCell ref="A128:A130"/>
    <mergeCell ref="B128:B130"/>
    <mergeCell ref="J128:J130"/>
    <mergeCell ref="K128:K130"/>
    <mergeCell ref="L128:L130"/>
    <mergeCell ref="Q118:Q120"/>
    <mergeCell ref="R118:R120"/>
    <mergeCell ref="A121:A123"/>
    <mergeCell ref="B121:B123"/>
    <mergeCell ref="J121:J123"/>
    <mergeCell ref="K121:K123"/>
    <mergeCell ref="L121:L123"/>
    <mergeCell ref="A114:L114"/>
    <mergeCell ref="O114:P114"/>
    <mergeCell ref="A115:L115"/>
    <mergeCell ref="G116:H116"/>
    <mergeCell ref="A117:A119"/>
    <mergeCell ref="B117:B119"/>
    <mergeCell ref="J117:J119"/>
    <mergeCell ref="K117:K119"/>
    <mergeCell ref="L117:L119"/>
    <mergeCell ref="N118:N120"/>
    <mergeCell ref="A106:A107"/>
    <mergeCell ref="B106:B107"/>
    <mergeCell ref="J106:J107"/>
    <mergeCell ref="K106:K107"/>
    <mergeCell ref="L106:L107"/>
    <mergeCell ref="A109:A110"/>
    <mergeCell ref="B109:B110"/>
    <mergeCell ref="J109:J110"/>
    <mergeCell ref="K109:K110"/>
    <mergeCell ref="L109:L110"/>
    <mergeCell ref="Q100:Q101"/>
    <mergeCell ref="R100:R101"/>
    <mergeCell ref="A102:A104"/>
    <mergeCell ref="B102:B105"/>
    <mergeCell ref="J102:J105"/>
    <mergeCell ref="K102:K105"/>
    <mergeCell ref="L102:L105"/>
    <mergeCell ref="N102:N106"/>
    <mergeCell ref="Q102:Q106"/>
    <mergeCell ref="R102:R106"/>
    <mergeCell ref="A100:A101"/>
    <mergeCell ref="B100:B101"/>
    <mergeCell ref="J100:J101"/>
    <mergeCell ref="K100:K101"/>
    <mergeCell ref="L100:L101"/>
    <mergeCell ref="N100:N101"/>
    <mergeCell ref="A96:A97"/>
    <mergeCell ref="B96:B97"/>
    <mergeCell ref="J96:J97"/>
    <mergeCell ref="K96:K97"/>
    <mergeCell ref="L96:L97"/>
    <mergeCell ref="O98:P98"/>
    <mergeCell ref="A90:A91"/>
    <mergeCell ref="B90:B91"/>
    <mergeCell ref="J90:J91"/>
    <mergeCell ref="K90:K91"/>
    <mergeCell ref="L90:L91"/>
    <mergeCell ref="A93:A94"/>
    <mergeCell ref="B93:B94"/>
    <mergeCell ref="J93:J94"/>
    <mergeCell ref="K93:K94"/>
    <mergeCell ref="L93:L94"/>
    <mergeCell ref="G84:H84"/>
    <mergeCell ref="L85:L89"/>
    <mergeCell ref="A88:A89"/>
    <mergeCell ref="B88:B89"/>
    <mergeCell ref="J88:J89"/>
    <mergeCell ref="K88:K89"/>
    <mergeCell ref="A77:A79"/>
    <mergeCell ref="B77:B79"/>
    <mergeCell ref="F77:H77"/>
    <mergeCell ref="A81:B81"/>
    <mergeCell ref="A82:L82"/>
    <mergeCell ref="A83:L83"/>
    <mergeCell ref="A69:B69"/>
    <mergeCell ref="A70:L70"/>
    <mergeCell ref="O70:P70"/>
    <mergeCell ref="A71:L71"/>
    <mergeCell ref="G72:H72"/>
    <mergeCell ref="A75:A76"/>
    <mergeCell ref="B75:B76"/>
    <mergeCell ref="J75:J76"/>
    <mergeCell ref="K75:K76"/>
    <mergeCell ref="L75:L76"/>
    <mergeCell ref="G48:H48"/>
    <mergeCell ref="A58:B58"/>
    <mergeCell ref="A60:L60"/>
    <mergeCell ref="A61:L61"/>
    <mergeCell ref="G62:H62"/>
    <mergeCell ref="F66:H66"/>
    <mergeCell ref="A41:A42"/>
    <mergeCell ref="J41:J42"/>
    <mergeCell ref="K41:K42"/>
    <mergeCell ref="L41:L42"/>
    <mergeCell ref="A46:L46"/>
    <mergeCell ref="A47:L47"/>
    <mergeCell ref="A35:A38"/>
    <mergeCell ref="B35:B38"/>
    <mergeCell ref="J35:J38"/>
    <mergeCell ref="K35:K38"/>
    <mergeCell ref="L35:L38"/>
    <mergeCell ref="A39:A40"/>
    <mergeCell ref="B39:B40"/>
    <mergeCell ref="J39:J40"/>
    <mergeCell ref="K39:K40"/>
    <mergeCell ref="L39:L40"/>
    <mergeCell ref="L31:L32"/>
    <mergeCell ref="A33:A34"/>
    <mergeCell ref="B33:B34"/>
    <mergeCell ref="J33:J34"/>
    <mergeCell ref="K33:K34"/>
    <mergeCell ref="L33:L34"/>
    <mergeCell ref="A26:A27"/>
    <mergeCell ref="B26:B27"/>
    <mergeCell ref="J26:J27"/>
    <mergeCell ref="K26:K27"/>
    <mergeCell ref="L26:L27"/>
    <mergeCell ref="A28:A30"/>
    <mergeCell ref="B28:B30"/>
    <mergeCell ref="J28:J30"/>
    <mergeCell ref="K28:K30"/>
    <mergeCell ref="L28:L30"/>
    <mergeCell ref="G19:H19"/>
    <mergeCell ref="A23:A24"/>
    <mergeCell ref="B23:B24"/>
    <mergeCell ref="J23:J24"/>
    <mergeCell ref="K23:K24"/>
    <mergeCell ref="L23:L24"/>
    <mergeCell ref="F24:G24"/>
    <mergeCell ref="A1:L1"/>
    <mergeCell ref="A2:L2"/>
    <mergeCell ref="G3:H3"/>
    <mergeCell ref="A16:B16"/>
    <mergeCell ref="A17:L17"/>
    <mergeCell ref="A18:L18"/>
  </mergeCells>
  <conditionalFormatting sqref="I2">
    <cfRule type="cellIs" dxfId="7" priority="8" operator="greaterThan">
      <formula>417.15</formula>
    </cfRule>
  </conditionalFormatting>
  <conditionalFormatting sqref="I115">
    <cfRule type="cellIs" dxfId="6" priority="7" operator="greaterThan">
      <formula>417.15</formula>
    </cfRule>
  </conditionalFormatting>
  <conditionalFormatting sqref="I140">
    <cfRule type="cellIs" dxfId="5" priority="6" operator="greaterThan">
      <formula>417.15</formula>
    </cfRule>
  </conditionalFormatting>
  <conditionalFormatting sqref="I47">
    <cfRule type="cellIs" dxfId="4" priority="5" operator="greaterThan">
      <formula>417.15</formula>
    </cfRule>
  </conditionalFormatting>
  <conditionalFormatting sqref="I18">
    <cfRule type="cellIs" dxfId="3" priority="4" operator="greaterThan">
      <formula>417.15</formula>
    </cfRule>
  </conditionalFormatting>
  <conditionalFormatting sqref="I61">
    <cfRule type="cellIs" dxfId="2" priority="3" operator="greaterThan">
      <formula>417.15</formula>
    </cfRule>
  </conditionalFormatting>
  <conditionalFormatting sqref="I71">
    <cfRule type="cellIs" dxfId="1" priority="2" operator="greaterThan">
      <formula>417.15</formula>
    </cfRule>
  </conditionalFormatting>
  <conditionalFormatting sqref="I83">
    <cfRule type="cellIs" dxfId="0" priority="1" operator="greaterThan">
      <formula>417.15</formula>
    </cfRule>
  </conditionalFormatting>
  <pageMargins left="0.7" right="0.7" top="0.75" bottom="0.75" header="0.3" footer="0.3"/>
  <pageSetup scale="1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2025-07-20T16:31:05Z</dcterms:created>
  <dcterms:modified xsi:type="dcterms:W3CDTF">2025-07-20T16:31:47Z</dcterms:modified>
  <cp:category/>
  <cp:contentStatus/>
</cp:coreProperties>
</file>